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mc:AlternateContent xmlns:mc="http://schemas.openxmlformats.org/markup-compatibility/2006">
    <mc:Choice Requires="x15">
      <x15ac:absPath xmlns:x15ac="http://schemas.microsoft.com/office/spreadsheetml/2010/11/ac" url="C:\prj\pwr_mgr\PWR-SSD\"/>
    </mc:Choice>
  </mc:AlternateContent>
  <xr:revisionPtr revIDLastSave="0" documentId="13_ncr:1_{12A8E5EE-8C3A-4FA1-BA26-0FA46E664771}" xr6:coauthVersionLast="47" xr6:coauthVersionMax="47" xr10:uidLastSave="{00000000-0000-0000-0000-000000000000}"/>
  <bookViews>
    <workbookView xWindow="-108" yWindow="-108" windowWidth="23256" windowHeight="12576" xr2:uid="{00000000-000D-0000-FFFF-FFFF00000000}"/>
  </bookViews>
  <sheets>
    <sheet name="Projekt" sheetId="9" r:id="rId1"/>
    <sheet name="GanttChartPro" sheetId="12" r:id="rId2"/>
    <sheet name="Help" sheetId="6" r:id="rId3"/>
    <sheet name="TermsOfUse" sheetId="11" r:id="rId4"/>
  </sheets>
  <definedNames>
    <definedName name="_xlnm.Print_Area" localSheetId="1">GanttChartPro!$A$1:$C$47</definedName>
    <definedName name="_xlnm.Print_Area" localSheetId="0">Projekt!$A$1:$BN$45</definedName>
    <definedName name="prevWBS" localSheetId="0">Projekt!$A1048576</definedName>
    <definedName name="_xlnm.Print_Titles" localSheetId="0">Projekt!$4:$7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3" i="9" l="1"/>
  <c r="I53" i="9" s="1"/>
  <c r="F49" i="9"/>
  <c r="I49" i="9" s="1"/>
  <c r="F13" i="9"/>
  <c r="I13" i="9" s="1"/>
  <c r="F41" i="9"/>
  <c r="I41" i="9" s="1"/>
  <c r="F42" i="9"/>
  <c r="I42" i="9" s="1"/>
  <c r="F43" i="9"/>
  <c r="I43" i="9" s="1"/>
  <c r="F59" i="9"/>
  <c r="I59" i="9" s="1"/>
  <c r="F60" i="9"/>
  <c r="I60" i="9" s="1"/>
  <c r="F61" i="9"/>
  <c r="I61" i="9" s="1"/>
  <c r="F62" i="9"/>
  <c r="I62" i="9" s="1"/>
  <c r="F63" i="9"/>
  <c r="I63" i="9" s="1"/>
  <c r="F54" i="9"/>
  <c r="I54" i="9" s="1"/>
  <c r="F55" i="9"/>
  <c r="I55" i="9" s="1"/>
  <c r="F56" i="9"/>
  <c r="I56" i="9" s="1"/>
  <c r="F47" i="9"/>
  <c r="I47" i="9" s="1"/>
  <c r="F44" i="9"/>
  <c r="I44" i="9" s="1"/>
  <c r="F32" i="9"/>
  <c r="I32" i="9" s="1"/>
  <c r="F20" i="9"/>
  <c r="I20" i="9" s="1"/>
  <c r="F21" i="9"/>
  <c r="I21" i="9" s="1"/>
  <c r="F33" i="9"/>
  <c r="I33" i="9" s="1"/>
  <c r="F25" i="9"/>
  <c r="I25" i="9" s="1"/>
  <c r="F31" i="9"/>
  <c r="I31" i="9" s="1"/>
  <c r="F22" i="9"/>
  <c r="I22" i="9" s="1"/>
  <c r="F12" i="9"/>
  <c r="I12" i="9" s="1"/>
  <c r="F11" i="9"/>
  <c r="I11" i="9" s="1"/>
  <c r="F10" i="9"/>
  <c r="I10" i="9" s="1"/>
  <c r="F18" i="9"/>
  <c r="I18" i="9" s="1"/>
  <c r="F9" i="9"/>
  <c r="F48" i="9"/>
  <c r="I48" i="9" s="1"/>
  <c r="F58" i="9"/>
  <c r="I58" i="9" s="1"/>
  <c r="F51" i="9"/>
  <c r="I51" i="9" s="1"/>
  <c r="F24" i="9"/>
  <c r="I24" i="9" s="1"/>
  <c r="F23" i="9"/>
  <c r="I23" i="9" s="1"/>
  <c r="F16" i="9"/>
  <c r="F17" i="9"/>
  <c r="I17" i="9" s="1"/>
  <c r="F39" i="9"/>
  <c r="I39" i="9" s="1"/>
  <c r="F38" i="9"/>
  <c r="I38" i="9" s="1"/>
  <c r="F45" i="9"/>
  <c r="I45" i="9" s="1"/>
  <c r="F26" i="9"/>
  <c r="I26" i="9" s="1"/>
  <c r="F27" i="9"/>
  <c r="I27" i="9" s="1"/>
  <c r="F28" i="9"/>
  <c r="I28" i="9" s="1"/>
  <c r="F30" i="9"/>
  <c r="I30" i="9" s="1"/>
  <c r="F72" i="9"/>
  <c r="I72" i="9" s="1"/>
  <c r="F73" i="9"/>
  <c r="I73" i="9" s="1"/>
  <c r="F74" i="9"/>
  <c r="I74" i="9" s="1"/>
  <c r="F75" i="9"/>
  <c r="I75" i="9" s="1"/>
  <c r="F76" i="9"/>
  <c r="I76" i="9" s="1"/>
  <c r="F77" i="9"/>
  <c r="I77" i="9" s="1"/>
  <c r="F78" i="9"/>
  <c r="I78" i="9" s="1"/>
  <c r="F79" i="9"/>
  <c r="I79" i="9" s="1"/>
  <c r="F80" i="9"/>
  <c r="I80" i="9" s="1"/>
  <c r="F65" i="9"/>
  <c r="I65" i="9" s="1"/>
  <c r="F66" i="9"/>
  <c r="I66" i="9" s="1"/>
  <c r="F67" i="9"/>
  <c r="I67" i="9" s="1"/>
  <c r="F68" i="9"/>
  <c r="I68" i="9" s="1"/>
  <c r="F69" i="9"/>
  <c r="I69" i="9" s="1"/>
  <c r="F34" i="9"/>
  <c r="I34" i="9" s="1"/>
  <c r="F35" i="9"/>
  <c r="I35" i="9" s="1"/>
  <c r="F36" i="9"/>
  <c r="I36" i="9" s="1"/>
  <c r="F19" i="9"/>
  <c r="I19" i="9" s="1"/>
  <c r="F14" i="9"/>
  <c r="I14" i="9" s="1"/>
  <c r="F85" i="9"/>
  <c r="I85" i="9" s="1"/>
  <c r="F84" i="9"/>
  <c r="I84" i="9" s="1"/>
  <c r="F83" i="9"/>
  <c r="I83" i="9" s="1"/>
  <c r="F82" i="9"/>
  <c r="I82" i="9" s="1"/>
  <c r="F81" i="9"/>
  <c r="I81" i="9" s="1"/>
  <c r="F71" i="9"/>
  <c r="I71" i="9" s="1"/>
  <c r="F70" i="9"/>
  <c r="I70" i="9" s="1"/>
  <c r="F64" i="9"/>
  <c r="I64" i="9" s="1"/>
  <c r="F57" i="9"/>
  <c r="I57" i="9" s="1"/>
  <c r="F52" i="9"/>
  <c r="I52" i="9" s="1"/>
  <c r="I46" i="9"/>
  <c r="I37" i="9" l="1"/>
  <c r="F29" i="9"/>
  <c r="I29" i="9" s="1"/>
  <c r="F15" i="9"/>
  <c r="I15" i="9" s="1"/>
  <c r="K6" i="9" l="1"/>
  <c r="I9" i="9" l="1"/>
  <c r="A8" i="9"/>
  <c r="L6" i="9" l="1"/>
  <c r="I16" i="9" l="1"/>
  <c r="F50" i="9"/>
  <c r="I50" i="9" s="1"/>
  <c r="F40" i="9"/>
  <c r="I40" i="9" s="1"/>
  <c r="M6" i="9"/>
  <c r="N6" i="9" l="1"/>
  <c r="O6" i="9" l="1"/>
  <c r="K5" i="9"/>
  <c r="P6" i="9" l="1"/>
  <c r="Q6" i="9" l="1"/>
  <c r="R6" i="9" l="1"/>
  <c r="S6" i="9" l="1"/>
  <c r="T6" i="9" l="1"/>
  <c r="U6" i="9" l="1"/>
  <c r="V6" i="9" l="1"/>
  <c r="R5" i="9"/>
  <c r="W6" i="9" l="1"/>
  <c r="X6" i="9" l="1"/>
  <c r="Y6" i="9" l="1"/>
  <c r="Z6" i="9" l="1"/>
  <c r="AA6" i="9" l="1"/>
  <c r="AB6" i="9" l="1"/>
  <c r="Y5" i="9"/>
  <c r="AC6" i="9" l="1"/>
  <c r="AD6" i="9" l="1"/>
  <c r="AE6" i="9" l="1"/>
  <c r="AF6" i="9" l="1"/>
  <c r="AG6" i="9" l="1"/>
  <c r="AH6" i="9" l="1"/>
  <c r="AI6" i="9" l="1"/>
  <c r="AF5" i="9"/>
  <c r="AJ6" i="9" l="1"/>
  <c r="AK6" i="9" l="1"/>
  <c r="AL6" i="9" l="1"/>
  <c r="AM6" i="9" l="1"/>
  <c r="AN6" i="9" l="1"/>
  <c r="AO6" i="9" l="1"/>
  <c r="AP6" i="9" l="1"/>
  <c r="AM5" i="9"/>
  <c r="AQ6" i="9" l="1"/>
  <c r="AR6" i="9" l="1"/>
  <c r="AS6" i="9" l="1"/>
  <c r="AT6" i="9" l="1"/>
  <c r="AU6" i="9" l="1"/>
  <c r="AV6" i="9" l="1"/>
  <c r="AW6" i="9" l="1"/>
  <c r="AT5" i="9"/>
  <c r="AX6" i="9" l="1"/>
  <c r="AY6" i="9" l="1"/>
  <c r="AZ6" i="9" l="1"/>
  <c r="BA6" i="9" l="1"/>
  <c r="BB6" i="9" l="1"/>
  <c r="BC6" i="9" l="1"/>
  <c r="BD6" i="9" l="1"/>
  <c r="BA5" i="9"/>
  <c r="BE6" i="9" l="1"/>
  <c r="BF6" i="9" l="1"/>
  <c r="BG6" i="9" l="1"/>
  <c r="BH6" i="9" l="1"/>
  <c r="BI6" i="9" l="1"/>
  <c r="BJ6" i="9" l="1"/>
  <c r="BK6" i="9" l="1"/>
  <c r="BH5" i="9"/>
  <c r="BL6" i="9" l="1"/>
  <c r="BM6" i="9" l="1"/>
  <c r="BN6" i="9" l="1"/>
  <c r="A9" i="9" l="1"/>
  <c r="A10" i="9" s="1"/>
  <c r="A11" i="9" l="1"/>
  <c r="A12" i="9" l="1"/>
  <c r="A13" i="9" l="1"/>
  <c r="A14" i="9" s="1"/>
  <c r="A15" i="9" s="1"/>
  <c r="A16" i="9" s="1"/>
  <c r="A17" i="9" s="1"/>
  <c r="A18" i="9" s="1"/>
  <c r="A19" i="9" s="1"/>
  <c r="A20" i="9" s="1"/>
  <c r="A21" i="9" s="1"/>
  <c r="A22" i="9" s="1"/>
  <c r="A23" i="9" l="1"/>
  <c r="A24" i="9" s="1"/>
  <c r="A25" i="9" s="1"/>
  <c r="A26" i="9" s="1"/>
  <c r="A27" i="9" s="1"/>
  <c r="A28" i="9" s="1"/>
  <c r="A29" i="9" s="1"/>
  <c r="A30" i="9" s="1"/>
  <c r="A31" i="9" s="1"/>
  <c r="A32" i="9" s="1"/>
  <c r="A33" i="9" s="1"/>
  <c r="A34" i="9" s="1"/>
  <c r="A35" i="9" s="1"/>
  <c r="A36" i="9" s="1"/>
  <c r="A37" i="9" s="1"/>
  <c r="A38" i="9" s="1"/>
  <c r="A39" i="9" s="1"/>
  <c r="A40" i="9" s="1"/>
  <c r="A41" i="9" s="1"/>
  <c r="A42" i="9" s="1"/>
  <c r="A43" i="9" s="1"/>
  <c r="A44" i="9" l="1"/>
  <c r="A45" i="9" s="1"/>
  <c r="A46" i="9" s="1"/>
  <c r="A47" i="9" s="1"/>
  <c r="A48" i="9" s="1"/>
  <c r="A49" i="9" l="1"/>
  <c r="A50" i="9" s="1"/>
  <c r="A51" i="9" s="1"/>
  <c r="A52" i="9" s="1"/>
  <c r="A53" i="9" l="1"/>
  <c r="A54" i="9" s="1"/>
  <c r="A55" i="9" s="1"/>
  <c r="A56" i="9" s="1"/>
  <c r="A57" i="9" s="1"/>
  <c r="A58" i="9" s="1"/>
  <c r="A59" i="9" s="1"/>
  <c r="A60" i="9" s="1"/>
  <c r="A61" i="9" s="1"/>
  <c r="A62" i="9" s="1"/>
  <c r="A63" i="9" s="1"/>
  <c r="A64" i="9" s="1"/>
  <c r="A65" i="9" s="1"/>
  <c r="A66" i="9" s="1"/>
  <c r="A67" i="9" s="1"/>
  <c r="A68" i="9" s="1"/>
  <c r="A69" i="9" s="1"/>
  <c r="A70" i="9" s="1"/>
  <c r="A71" i="9" s="1"/>
  <c r="A72" i="9" s="1"/>
  <c r="A73" i="9" s="1"/>
  <c r="A74" i="9" s="1"/>
  <c r="A75" i="9" s="1"/>
  <c r="A76" i="9" s="1"/>
  <c r="A77" i="9" s="1"/>
  <c r="A78" i="9" s="1"/>
  <c r="A79" i="9" s="1"/>
  <c r="A80" i="9" s="1"/>
  <c r="A81" i="9" s="1"/>
  <c r="A82" i="9" s="1"/>
  <c r="A83" i="9" s="1"/>
  <c r="A84" i="9" s="1"/>
  <c r="A85"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Adam Ćwikliński (273055)</author>
  </authors>
  <commentList>
    <comment ref="A7"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xr:uid="{00000000-0006-0000-0000-000003000000}">
      <text>
        <r>
          <rPr>
            <b/>
            <sz val="9"/>
            <color indexed="81"/>
            <rFont val="Tahoma"/>
            <family val="2"/>
          </rPr>
          <t>Task Lead</t>
        </r>
        <r>
          <rPr>
            <sz val="9"/>
            <color indexed="81"/>
            <rFont val="Tahoma"/>
            <family val="2"/>
          </rPr>
          <t xml:space="preserve">
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00000000-0006-0000-0000-000006000000}">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00000000-0006-0000-0000-00000700000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00000000-0006-0000-0000-00000900000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 ref="B10" authorId="2" shapeId="0" xr:uid="{C8C76641-303B-47FA-9126-54F8544EB009}">
      <text>
        <r>
          <rPr>
            <b/>
            <sz val="9"/>
            <color indexed="81"/>
            <rFont val="Tahoma"/>
            <charset val="1"/>
          </rPr>
          <t>Adam Ćwikliński (273055):</t>
        </r>
        <r>
          <rPr>
            <sz val="9"/>
            <color indexed="81"/>
            <rFont val="Tahoma"/>
            <charset val="1"/>
          </rPr>
          <t xml:space="preserve">
Co jest praktyczne I możliwe do zrobienia</t>
        </r>
      </text>
    </comment>
    <comment ref="B12" authorId="2" shapeId="0" xr:uid="{F51795A1-6685-49B5-A969-6831C13DCCCC}">
      <text>
        <r>
          <rPr>
            <b/>
            <sz val="9"/>
            <color indexed="81"/>
            <rFont val="Tahoma"/>
            <charset val="1"/>
          </rPr>
          <t xml:space="preserve">Adam Ćwikliński (273055)
</t>
        </r>
        <r>
          <rPr>
            <sz val="9"/>
            <color indexed="81"/>
            <rFont val="Tahoma"/>
            <charset val="1"/>
          </rPr>
          <t>Co będzie celem, co da sie pokazać w formie projektu + dokumentacja</t>
        </r>
      </text>
    </comment>
    <comment ref="B25" authorId="2" shapeId="0" xr:uid="{CEE86763-E3FD-4764-AFBB-20057110BD08}">
      <text>
        <r>
          <rPr>
            <b/>
            <sz val="9"/>
            <color indexed="81"/>
            <rFont val="Tahoma"/>
            <charset val="1"/>
          </rPr>
          <t>Adam Ćwikliński (273055):</t>
        </r>
        <r>
          <rPr>
            <sz val="9"/>
            <color indexed="81"/>
            <rFont val="Tahoma"/>
            <charset val="1"/>
          </rPr>
          <t xml:space="preserve">
Czujki, moduły komunikacyjne</t>
        </r>
      </text>
    </comment>
    <comment ref="B30" authorId="2" shapeId="0" xr:uid="{40CEC709-D541-4ADD-A5B7-8DEF75040889}">
      <text>
        <r>
          <rPr>
            <b/>
            <sz val="9"/>
            <color indexed="81"/>
            <rFont val="Tahoma"/>
            <charset val="1"/>
          </rPr>
          <t>Adam Ćwikliński (273055):</t>
        </r>
        <r>
          <rPr>
            <sz val="9"/>
            <color indexed="81"/>
            <rFont val="Tahoma"/>
            <charset val="1"/>
          </rPr>
          <t xml:space="preserve">
Ustalenie co trzeba opanować ( mikrontrolery, jęsyk programownia)</t>
        </r>
      </text>
    </comment>
    <comment ref="B31" authorId="2" shapeId="0" xr:uid="{B300A252-A71D-47E8-8BDA-22F7DA61FCFA}">
      <text>
        <r>
          <rPr>
            <b/>
            <sz val="9"/>
            <color indexed="81"/>
            <rFont val="Tahoma"/>
            <charset val="1"/>
          </rPr>
          <t>Adam Ćwikliński (273055):</t>
        </r>
        <r>
          <rPr>
            <sz val="9"/>
            <color indexed="81"/>
            <rFont val="Tahoma"/>
            <charset val="1"/>
          </rPr>
          <t xml:space="preserve">
Jak programować I jak komunikować sie z raspbery pi</t>
        </r>
      </text>
    </comment>
    <comment ref="B44" authorId="2" shapeId="0" xr:uid="{6E54A6C3-897F-4C4A-846B-288D86CC7526}">
      <text>
        <r>
          <rPr>
            <b/>
            <sz val="9"/>
            <color indexed="81"/>
            <rFont val="Tahoma"/>
            <charset val="1"/>
          </rPr>
          <t>Adam Ćwikliński (273055):</t>
        </r>
        <r>
          <rPr>
            <sz val="9"/>
            <color indexed="81"/>
            <rFont val="Tahoma"/>
            <charset val="1"/>
          </rPr>
          <t xml:space="preserve">
I dowiedzieć się co to znaczy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Vertex42</author>
  </authors>
  <commentList>
    <comment ref="C16" authorId="0" shapeId="0" xr:uid="{00000000-0006-0000-0200-000001000000}">
      <text>
        <r>
          <rPr>
            <sz val="8"/>
            <color indexed="81"/>
            <rFont val="Tahoma"/>
            <family val="2"/>
          </rPr>
          <t>This is an example comment.</t>
        </r>
      </text>
    </comment>
  </commentList>
</comments>
</file>

<file path=xl/sharedStrings.xml><?xml version="1.0" encoding="utf-8"?>
<sst xmlns="http://schemas.openxmlformats.org/spreadsheetml/2006/main" count="242" uniqueCount="161">
  <si>
    <t>Data rozpoczęcia</t>
  </si>
  <si>
    <t>Tydzień 0</t>
  </si>
  <si>
    <t>Tydzień 0.1</t>
  </si>
  <si>
    <t>Tydzień 1</t>
  </si>
  <si>
    <t>Tydzień 2</t>
  </si>
  <si>
    <t>Tydzień 3</t>
  </si>
  <si>
    <t>Tydzień 4</t>
  </si>
  <si>
    <t>Tydzień 5</t>
  </si>
  <si>
    <t>Tydzień 6</t>
  </si>
  <si>
    <t>WBS</t>
  </si>
  <si>
    <t>Co</t>
  </si>
  <si>
    <t>PREDECESSOR</t>
  </si>
  <si>
    <t>Start</t>
  </si>
  <si>
    <t>P</t>
  </si>
  <si>
    <t>W</t>
  </si>
  <si>
    <t>Ś</t>
  </si>
  <si>
    <t>C</t>
  </si>
  <si>
    <t>S</t>
  </si>
  <si>
    <t>N</t>
  </si>
  <si>
    <t>AC</t>
  </si>
  <si>
    <t>none</t>
  </si>
  <si>
    <t>Gantt Chart Template Pro</t>
  </si>
  <si>
    <r>
      <t>Gantt Chart Template Pro</t>
    </r>
    <r>
      <rPr>
        <sz val="10"/>
        <rFont val="Arial"/>
        <family val="2"/>
      </rPr>
      <t xml:space="preserve"> is similar to this free version, but</t>
    </r>
  </si>
  <si>
    <t>it is more feature-packed. It also comes with other bonus content.</t>
  </si>
  <si>
    <t>Learn About Gantt Chart Template Pro</t>
  </si>
  <si>
    <t>https://www.vertex42.com/ExcelTemplates/excel-gantt-chart.html</t>
  </si>
  <si>
    <t>The following link is a blog post that talks specifically about the</t>
  </si>
  <si>
    <t>Pro version for Excel Online.</t>
  </si>
  <si>
    <t>Gantt Chart Template Pro for Excel Online</t>
  </si>
  <si>
    <t>Benefits and Features of Gantt Chart Template Pro</t>
  </si>
  <si>
    <t>Simple Color-Coding</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</si>
  <si>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</si>
  <si>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</si>
  <si>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</si>
  <si>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</si>
  <si>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</si>
  <si>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Use Work Days as an Input</t>
  </si>
  <si>
    <t>By default, the Pro version is set up to have you enter Work Days instead of Calendar Days.</t>
  </si>
  <si>
    <t>The expanded set of template rows provides more options for defining the Start date, End date,</t>
  </si>
  <si>
    <t>and Duration of tasks. Define a task based on …</t>
  </si>
  <si>
    <t xml:space="preserve"> - Start date and End date</t>
  </si>
  <si>
    <t xml:space="preserve"> - Start date and Work days</t>
  </si>
  <si>
    <t xml:space="preserve"> - Start date and Calendar days</t>
  </si>
  <si>
    <t>Easily Create Task Dependencies</t>
  </si>
  <si>
    <t>Though you can still use your own formulas for creating task dependencies, the Pro version</t>
  </si>
  <si>
    <t>includes template rows that calculate the Start date based on the WBS number that you enter</t>
  </si>
  <si>
    <t>in the Predecessor column.</t>
  </si>
  <si>
    <t>Exclude Holidays from Work Days</t>
  </si>
  <si>
    <t>List holidays and other specific non-working days that you want to exclude from work days.</t>
  </si>
  <si>
    <t>Customize Your Work Week</t>
  </si>
  <si>
    <t>The versions designed for Excel 2010+ use the WORKDAY.INTL() and NETWORKDAYS.INTL()</t>
  </si>
  <si>
    <t>functions that allow you define the work week as something other than Monday-Friday.</t>
  </si>
  <si>
    <t>Learn More About Gantt Chart Template Pro</t>
  </si>
  <si>
    <t>Help</t>
  </si>
  <si>
    <t>About This Template</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</si>
  <si>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</si>
  <si>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Be sure to read the Getting Started Tips below. Watching the video demos for Gantt Chart Template Pro may also help you see how to use the spreadsheet.</t>
  </si>
  <si>
    <t>Watch Demo Videos of the Pro Version on Vertex42.com</t>
  </si>
  <si>
    <t>Please read the license agreement in the TermsOfUse worksheet to learn how you may or may not use and share this spreadsheet.</t>
  </si>
  <si>
    <t>Getting Started Tips</t>
  </si>
  <si>
    <t>• [Bracketed Text] is meant to be edited, like the project title and task descriptions.</t>
  </si>
  <si>
    <t>• Some of the labels include cell comments to provide extra information.</t>
  </si>
  <si>
    <t>Label</t>
  </si>
  <si>
    <t>• To adjust the range of dates shown in the Gantt chart, change the Display Week number.</t>
  </si>
  <si>
    <t>• The Project Start Date is used to define the first week shown in the gantt chart.</t>
  </si>
  <si>
    <t>• Insert new tasks using one of the methods listed below.</t>
  </si>
  <si>
    <t>• Define the task start date and duration (days) by editing the light green cells.</t>
  </si>
  <si>
    <t>Input Cell</t>
  </si>
  <si>
    <t>• If you see "#####" in a cell, widen the column to display the cell contents.</t>
  </si>
  <si>
    <r>
      <t xml:space="preserve">• </t>
    </r>
    <r>
      <rPr>
        <b/>
        <sz val="11"/>
        <color rgb="FFFF0000"/>
        <rFont val="Arial"/>
        <family val="2"/>
      </rPr>
      <t>Backup</t>
    </r>
    <r>
      <rPr>
        <sz val="11"/>
        <color rgb="FFFF0000"/>
        <rFont val="Arial"/>
        <family val="2"/>
      </rPr>
      <t xml:space="preserve"> your file regularly to avoid losing data! Excel files get corrupted occasionally.</t>
    </r>
  </si>
  <si>
    <t>Inserting New Tasks (Rows)</t>
  </si>
  <si>
    <r>
      <t xml:space="preserve">When inserting and deleting tasks, you need to insert and delete </t>
    </r>
    <r>
      <rPr>
        <b/>
        <sz val="11"/>
        <rFont val="Arial"/>
        <family val="2"/>
      </rPr>
      <t>entire rows</t>
    </r>
    <r>
      <rPr>
        <sz val="11"/>
        <rFont val="Arial"/>
        <family val="2"/>
      </rPr>
      <t>. Some columns contain formulas (such as the End Date and the Work Days columns), so these formulas need to copied to the newly inserted rows.</t>
    </r>
  </si>
  <si>
    <t>METHOD 1 (recommended)</t>
  </si>
  <si>
    <t>• Insert a new blank row by right-clicking on the row number and selecting Insert.</t>
  </si>
  <si>
    <t>• With the new blank row selected, press Ctrl+d to copy the formulas and formatting down from the row above OR use the row drag handle to copy the formulas and formatting down.</t>
  </si>
  <si>
    <t>METHOD 2</t>
  </si>
  <si>
    <t>• Copy a row from the set of template rows at the bottom of the worksheet.</t>
  </si>
  <si>
    <t>• Right-click on the row where you want to insert the new task and select Insert Copied Cells.</t>
  </si>
  <si>
    <t>Method 2 will work, but Excel will split/fracture/duplicate conditional formatting rules rather than merging the rules. This can cause inefficiencies in very large and heavily modified files.</t>
  </si>
  <si>
    <t>Help improve Excel by voting on a suggestion to fix this problem.</t>
  </si>
  <si>
    <t>Using the Template Rows and Choosing a WBS Level</t>
  </si>
  <si>
    <t>The set of template rows at the bottom of the Gantt Chart worksheet provide examples of different ways to format and define tasks for different WBS levels.</t>
  </si>
  <si>
    <t>Each different WBS level uses a different formula in the WBS column.</t>
  </si>
  <si>
    <t>You can either copy/paste/insert these template rows via Method 2 as explained above, OR you can just copy/paste the desired WBS cell when you want to change the WBS level.</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</si>
  <si>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</si>
  <si>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</si>
  <si>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t>Creating Task Dependencies</t>
  </si>
  <si>
    <t>You can enter the Start date manually, or define task dependencies using a formula. Below are some common options for defining the Start date:</t>
  </si>
  <si>
    <t>A.</t>
  </si>
  <si>
    <t>Enter the date manually (e.g. 1/3/2015)</t>
  </si>
  <si>
    <t>B.</t>
  </si>
  <si>
    <t>Reference the Project Start Date (e.g. =$E$4 )</t>
  </si>
  <si>
    <t>C.</t>
  </si>
  <si>
    <t>Set the Start date to the next Work Day after another task's End date.</t>
  </si>
  <si>
    <r>
      <t>• Use the formula =WORKDAY(</t>
    </r>
    <r>
      <rPr>
        <i/>
        <sz val="11"/>
        <rFont val="Arial"/>
        <family val="2"/>
      </rPr>
      <t>enddate</t>
    </r>
    <r>
      <rPr>
        <sz val="11"/>
        <rFont val="Arial"/>
        <family val="2"/>
      </rPr>
      <t xml:space="preserve">,1) where </t>
    </r>
    <r>
      <rPr>
        <i/>
        <sz val="11"/>
        <rFont val="Arial"/>
        <family val="2"/>
      </rPr>
      <t>enddate</t>
    </r>
    <r>
      <rPr>
        <sz val="11"/>
        <rFont val="Arial"/>
        <family val="2"/>
      </rPr>
      <t xml:space="preserve"> is the reference to the End date of a predecessor task.</t>
    </r>
  </si>
  <si>
    <r>
      <t>• For multiple predecessors, the formula would be =MAX(WORKDAY(</t>
    </r>
    <r>
      <rPr>
        <i/>
        <sz val="11"/>
        <rFont val="Arial"/>
        <family val="2"/>
      </rPr>
      <t>enddate1</t>
    </r>
    <r>
      <rPr>
        <sz val="11"/>
        <rFont val="Arial"/>
        <family val="2"/>
      </rPr>
      <t>,1),WORKDAY(</t>
    </r>
    <r>
      <rPr>
        <i/>
        <sz val="11"/>
        <rFont val="Arial"/>
        <family val="2"/>
      </rPr>
      <t>enddate2</t>
    </r>
    <r>
      <rPr>
        <sz val="11"/>
        <rFont val="Arial"/>
        <family val="2"/>
      </rPr>
      <t>,1))</t>
    </r>
  </si>
  <si>
    <t>D.</t>
  </si>
  <si>
    <t>Set the Start date to the next Calendar Day after another task's End date.</t>
  </si>
  <si>
    <r>
      <t>• This formula is very simple: =</t>
    </r>
    <r>
      <rPr>
        <i/>
        <sz val="11"/>
        <rFont val="Arial"/>
        <family val="2"/>
      </rPr>
      <t>enddate</t>
    </r>
    <r>
      <rPr>
        <sz val="11"/>
        <rFont val="Arial"/>
        <family val="2"/>
      </rPr>
      <t>+1</t>
    </r>
  </si>
  <si>
    <r>
      <t>• For multiple predecessors, the formula would be =MAX(</t>
    </r>
    <r>
      <rPr>
        <i/>
        <sz val="11"/>
        <rFont val="Arial"/>
        <family val="2"/>
      </rPr>
      <t>enddate1</t>
    </r>
    <r>
      <rPr>
        <sz val="11"/>
        <rFont val="Arial"/>
        <family val="2"/>
      </rPr>
      <t>,</t>
    </r>
    <r>
      <rPr>
        <i/>
        <sz val="11"/>
        <rFont val="Arial"/>
        <family val="2"/>
      </rPr>
      <t>enddate2</t>
    </r>
    <r>
      <rPr>
        <sz val="11"/>
        <rFont val="Arial"/>
        <family val="2"/>
      </rPr>
      <t>,</t>
    </r>
    <r>
      <rPr>
        <i/>
        <sz val="11"/>
        <rFont val="Arial"/>
        <family val="2"/>
      </rPr>
      <t>enddate3</t>
    </r>
    <r>
      <rPr>
        <sz val="11"/>
        <rFont val="Arial"/>
        <family val="2"/>
      </rPr>
      <t>)+1</t>
    </r>
  </si>
  <si>
    <t>E.</t>
  </si>
  <si>
    <t>Set the Start date to a number of days before or after another date.</t>
  </si>
  <si>
    <r>
      <t>• This formula is just like the one in C or D, except that in place of the "1" you enter the number of days, such as =WORKDAY(</t>
    </r>
    <r>
      <rPr>
        <i/>
        <sz val="11"/>
        <rFont val="Arial"/>
        <family val="2"/>
      </rPr>
      <t>enddate</t>
    </r>
    <r>
      <rPr>
        <sz val="11"/>
        <rFont val="Arial"/>
        <family val="2"/>
      </rPr>
      <t>,5) or =WORKDAY(</t>
    </r>
    <r>
      <rPr>
        <i/>
        <sz val="11"/>
        <rFont val="Arial"/>
        <family val="2"/>
      </rPr>
      <t>startdate</t>
    </r>
    <r>
      <rPr>
        <sz val="11"/>
        <rFont val="Arial"/>
        <family val="2"/>
      </rPr>
      <t>,-5)</t>
    </r>
  </si>
  <si>
    <t>F.</t>
  </si>
  <si>
    <t>Use a lookup formula and the Predecessor column to define the start date.</t>
  </si>
  <si>
    <t>[The formulas for using this method are built into Gantt Chart Template Pro]</t>
  </si>
  <si>
    <t>Changing the Color of the Bars in the Gantt Chart</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</si>
  <si>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</si>
  <si>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t>FAQs</t>
  </si>
  <si>
    <t>Q:</t>
  </si>
  <si>
    <r>
      <t xml:space="preserve">How do I enter the </t>
    </r>
    <r>
      <rPr>
        <b/>
        <sz val="11"/>
        <color theme="4" tint="-0.249977111117893"/>
        <rFont val="Arial"/>
        <family val="2"/>
      </rPr>
      <t>Work Days</t>
    </r>
    <r>
      <rPr>
        <sz val="11"/>
        <color theme="4" tint="-0.249977111117893"/>
        <rFont val="Arial"/>
        <family val="2"/>
      </rPr>
      <t xml:space="preserve"> instead of </t>
    </r>
    <r>
      <rPr>
        <b/>
        <sz val="11"/>
        <color theme="4" tint="-0.249977111117893"/>
        <rFont val="Arial"/>
        <family val="2"/>
      </rPr>
      <t>Calendar Days</t>
    </r>
    <r>
      <rPr>
        <sz val="11"/>
        <color theme="4" tint="-0.249977111117893"/>
        <rFont val="Arial"/>
        <family val="2"/>
      </rPr>
      <t>?</t>
    </r>
  </si>
  <si>
    <t>Entering work days instead of calendar days is a feature of the Pro version. There is nothing in the free version preventing you from entering your own formulas, though.</t>
  </si>
  <si>
    <r>
      <t xml:space="preserve">How do I calculate Calendar Days after entering the </t>
    </r>
    <r>
      <rPr>
        <b/>
        <sz val="11"/>
        <color theme="4" tint="-0.249977111117893"/>
        <rFont val="Arial"/>
        <family val="2"/>
      </rPr>
      <t>Start and End Dates</t>
    </r>
    <r>
      <rPr>
        <sz val="11"/>
        <color theme="4" tint="-0.249977111117893"/>
        <rFont val="Arial"/>
        <family val="2"/>
      </rPr>
      <t>?</t>
    </r>
  </si>
  <si>
    <r>
      <t>You can calculate the duration in calendar days (including both start and end dates) using the formula =</t>
    </r>
    <r>
      <rPr>
        <i/>
        <sz val="11"/>
        <rFont val="Arial"/>
        <family val="2"/>
      </rPr>
      <t>enddate</t>
    </r>
    <r>
      <rPr>
        <sz val="11"/>
        <rFont val="Arial"/>
        <family val="2"/>
      </rPr>
      <t>-</t>
    </r>
    <r>
      <rPr>
        <i/>
        <sz val="11"/>
        <rFont val="Arial"/>
        <family val="2"/>
      </rPr>
      <t>startdate</t>
    </r>
    <r>
      <rPr>
        <sz val="11"/>
        <rFont val="Arial"/>
        <family val="2"/>
      </rPr>
      <t>+1</t>
    </r>
  </si>
  <si>
    <r>
      <t xml:space="preserve">How do I change the </t>
    </r>
    <r>
      <rPr>
        <b/>
        <sz val="11"/>
        <color theme="4" tint="-0.249977111117893"/>
        <rFont val="Arial"/>
        <family val="2"/>
      </rPr>
      <t>Print Settings</t>
    </r>
    <r>
      <rPr>
        <sz val="11"/>
        <color theme="4" tint="-0.249977111117893"/>
        <rFont val="Arial"/>
        <family val="2"/>
      </rPr>
      <t>? (Excel 2010, 2013)</t>
    </r>
  </si>
  <si>
    <t>Select the entire range of cells you want to print and go to File &gt; Print Area &gt; Set Print Area. Then go to File &gt; Page Setup or File &gt; Print Preview and adjust the Scaling, Margins, and Page Orientation as desired.</t>
  </si>
  <si>
    <r>
      <t xml:space="preserve">How do I increase the </t>
    </r>
    <r>
      <rPr>
        <b/>
        <sz val="11"/>
        <color theme="4" tint="-0.249977111117893"/>
        <rFont val="Arial"/>
        <family val="2"/>
      </rPr>
      <t>range of dates</t>
    </r>
    <r>
      <rPr>
        <sz val="11"/>
        <color theme="4" tint="-0.249977111117893"/>
        <rFont val="Arial"/>
        <family val="2"/>
      </rPr>
      <t xml:space="preserve"> displayed in the Gantt chart?</t>
    </r>
  </si>
  <si>
    <t>You will need to add columns to the right of the Gantt Chart via copy/paste. Copy and paste the columns in groups of 7. Afterwards, you will also probably need to update the print area.</t>
  </si>
  <si>
    <r>
      <t xml:space="preserve">How do I create a summary row that shows the </t>
    </r>
    <r>
      <rPr>
        <b/>
        <sz val="11"/>
        <color theme="4" tint="-0.249977111117893"/>
        <rFont val="Arial"/>
        <family val="2"/>
      </rPr>
      <t>MIN</t>
    </r>
    <r>
      <rPr>
        <sz val="11"/>
        <color theme="4" tint="-0.249977111117893"/>
        <rFont val="Arial"/>
        <family val="2"/>
      </rPr>
      <t xml:space="preserve"> and </t>
    </r>
    <r>
      <rPr>
        <b/>
        <sz val="11"/>
        <color theme="4" tint="-0.249977111117893"/>
        <rFont val="Arial"/>
        <family val="2"/>
      </rPr>
      <t>MAX</t>
    </r>
    <r>
      <rPr>
        <sz val="11"/>
        <color theme="4" tint="-0.249977111117893"/>
        <rFont val="Arial"/>
        <family val="2"/>
      </rPr>
      <t xml:space="preserve"> dates for all sub-tasks?</t>
    </r>
  </si>
  <si>
    <r>
      <t>In the Start column, use the formula =MIN(</t>
    </r>
    <r>
      <rPr>
        <i/>
        <sz val="11"/>
        <color rgb="FF000000"/>
        <rFont val="Arial"/>
        <family val="2"/>
      </rPr>
      <t>range_of_start_dates</t>
    </r>
    <r>
      <rPr>
        <sz val="11"/>
        <color rgb="FF000000"/>
        <rFont val="Arial"/>
        <family val="2"/>
      </rPr>
      <t>)</t>
    </r>
  </si>
  <si>
    <r>
      <t>In the End column, use the formula =MAX(</t>
    </r>
    <r>
      <rPr>
        <i/>
        <sz val="11"/>
        <color rgb="FF000000"/>
        <rFont val="Arial"/>
        <family val="2"/>
      </rPr>
      <t>range_of_end_dates</t>
    </r>
    <r>
      <rPr>
        <sz val="11"/>
        <color rgb="FF000000"/>
        <rFont val="Arial"/>
        <family val="2"/>
      </rPr>
      <t>)</t>
    </r>
  </si>
  <si>
    <r>
      <t>In the Days column, use the formula =</t>
    </r>
    <r>
      <rPr>
        <i/>
        <sz val="11"/>
        <color rgb="FF000000"/>
        <rFont val="Arial"/>
        <family val="2"/>
      </rPr>
      <t>end_date</t>
    </r>
    <r>
      <rPr>
        <sz val="11"/>
        <color rgb="FF000000"/>
        <rFont val="Arial"/>
        <family val="2"/>
      </rPr>
      <t>-</t>
    </r>
    <r>
      <rPr>
        <i/>
        <sz val="11"/>
        <color rgb="FF000000"/>
        <rFont val="Arial"/>
        <family val="2"/>
      </rPr>
      <t>start_date</t>
    </r>
    <r>
      <rPr>
        <sz val="11"/>
        <color rgb="FF000000"/>
        <rFont val="Arial"/>
        <family val="2"/>
      </rPr>
      <t>+1</t>
    </r>
  </si>
  <si>
    <r>
      <t xml:space="preserve">How do I calculate the </t>
    </r>
    <r>
      <rPr>
        <b/>
        <sz val="11"/>
        <color theme="4" tint="-0.249977111117893"/>
        <rFont val="Arial"/>
        <family val="2"/>
      </rPr>
      <t>%Complete</t>
    </r>
    <r>
      <rPr>
        <sz val="11"/>
        <color theme="4" tint="-0.249977111117893"/>
        <rFont val="Arial"/>
        <family val="2"/>
      </rPr>
      <t xml:space="preserve"> for an entire category of tasks?</t>
    </r>
  </si>
  <si>
    <t>The %Complete for a group of tasks can be calculated from its sub tasks using the formula below, where "workdays" is a reference to the range of work day values and "complete" is a reference to the %complete for each of the subtasks.</t>
  </si>
  <si>
    <r>
      <t>=SUMPRODUCT(</t>
    </r>
    <r>
      <rPr>
        <i/>
        <sz val="11"/>
        <rFont val="Arial"/>
        <family val="2"/>
      </rPr>
      <t>workdays</t>
    </r>
    <r>
      <rPr>
        <sz val="11"/>
        <rFont val="Arial"/>
        <family val="2"/>
      </rPr>
      <t>,</t>
    </r>
    <r>
      <rPr>
        <i/>
        <sz val="11"/>
        <rFont val="Arial"/>
        <family val="2"/>
      </rPr>
      <t>complete</t>
    </r>
    <r>
      <rPr>
        <sz val="11"/>
        <rFont val="Arial"/>
        <family val="2"/>
      </rPr>
      <t>)/SUM(</t>
    </r>
    <r>
      <rPr>
        <i/>
        <sz val="11"/>
        <rFont val="Arial"/>
        <family val="2"/>
      </rPr>
      <t>workdays</t>
    </r>
    <r>
      <rPr>
        <sz val="11"/>
        <rFont val="Arial"/>
        <family val="2"/>
      </rPr>
      <t>)</t>
    </r>
  </si>
  <si>
    <t>Example: Let's say you have 3 sub tasks that are 10 days, 12 days, and 14 days long, respectively. If the first subtask is 50% complete and the others are 25% complete, you could calculate the overall percent complete for the group as: =(10*50%+12*25%+14*25%)/(10+12+14).</t>
  </si>
  <si>
    <r>
      <t xml:space="preserve">I've </t>
    </r>
    <r>
      <rPr>
        <b/>
        <sz val="11"/>
        <color theme="4" tint="-0.249977111117893"/>
        <rFont val="Arial"/>
        <family val="2"/>
      </rPr>
      <t>messed up</t>
    </r>
    <r>
      <rPr>
        <sz val="11"/>
        <color theme="4" tint="-0.249977111117893"/>
        <rFont val="Arial"/>
        <family val="2"/>
      </rPr>
      <t xml:space="preserve"> the chart area somehow. How do I fix it?</t>
    </r>
  </si>
  <si>
    <t>Find a row that works, then copy the cells that make up the gantt chart area from that row into the row that is messed up.</t>
  </si>
  <si>
    <t>© 2006-2018 Vertex42 LLC</t>
  </si>
  <si>
    <t>Terms of Use</t>
  </si>
  <si>
    <t>Gantt Chart Template, by Vertex42.com</t>
  </si>
  <si>
    <t>This spreadsheet template, including all worksheets and associated content is a copyrighted work under the United States and other copyright laws.</t>
  </si>
  <si>
    <r>
      <t xml:space="preserve">You may download the spreadsheet template, make archival copies, and customize the template only for your </t>
    </r>
    <r>
      <rPr>
        <b/>
        <sz val="12"/>
        <rFont val="Arial"/>
        <family val="2"/>
      </rPr>
      <t>personal use or use within your company or organization</t>
    </r>
    <r>
      <rPr>
        <sz val="12"/>
        <rFont val="Arial"/>
        <family val="2"/>
      </rPr>
      <t xml:space="preserve"> and </t>
    </r>
    <r>
      <rPr>
        <b/>
        <sz val="12"/>
        <rFont val="Arial"/>
        <family val="2"/>
      </rPr>
      <t>not</t>
    </r>
    <r>
      <rPr>
        <sz val="12"/>
        <rFont val="Arial"/>
        <family val="2"/>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</si>
  <si>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</si>
  <si>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</si>
  <si>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family val="2"/>
      </rPr>
      <t>Limited Private Sharing and Other Allowed Uses</t>
    </r>
    <r>
      <rPr>
        <sz val="12"/>
        <rFont val="Arial"/>
        <family val="2"/>
      </rPr>
      <t>: See the complete license agreement to learn more about how you may or may not use this template.</t>
    </r>
  </si>
  <si>
    <t>View the Complete License Agreement</t>
  </si>
  <si>
    <t>https://www.vertex42.com/licensing/EULA_privateuse.html</t>
  </si>
  <si>
    <t>Plan do SSD - Projekt</t>
  </si>
  <si>
    <t>Project Menager (PM):</t>
  </si>
  <si>
    <t>Marek Kocik</t>
  </si>
  <si>
    <t>Other Members:</t>
  </si>
  <si>
    <t>Tobiasz Bazan; Jakub Kamiński; Adam Ćwikliński</t>
  </si>
  <si>
    <t>The END</t>
  </si>
  <si>
    <t>WHO</t>
  </si>
  <si>
    <t>Working days</t>
  </si>
  <si>
    <t>Execution</t>
  </si>
  <si>
    <t>Days</t>
  </si>
  <si>
    <t>Wyświetlany tydzień (week desplayed)</t>
  </si>
  <si>
    <t>tutaj te  milestony co tobiasz zapisał</t>
  </si>
  <si>
    <t>a tutaj mniejsze elementy które się to niego składają</t>
  </si>
  <si>
    <t>i można</t>
  </si>
  <si>
    <t>przypisać</t>
  </si>
  <si>
    <t>człowieka</t>
  </si>
  <si>
    <t>do tego</t>
  </si>
  <si>
    <t>zadania</t>
  </si>
  <si>
    <t>tutaj</t>
  </si>
  <si>
    <t>MK</t>
  </si>
  <si>
    <t>TB</t>
  </si>
  <si>
    <t>JK</t>
  </si>
  <si>
    <r>
      <t xml:space="preserve">Toppic : </t>
    </r>
    <r>
      <rPr>
        <i/>
        <sz val="11"/>
        <rFont val="Arial"/>
        <family val="2"/>
      </rPr>
      <t>„</t>
    </r>
    <r>
      <rPr>
        <i/>
        <sz val="11"/>
        <color rgb="FFFF0000"/>
        <rFont val="Arial"/>
        <family val="2"/>
      </rPr>
      <t>ZOBACZYMY JAKI BĘDZIEMY MIELI POMYSŁ NA NAZWĘ JAK NA RAZIE TO TAK ZOSTAWIE ŻEBY PRZYKUŁO NASZĄ UWAGĘ</t>
    </r>
    <r>
      <rPr>
        <i/>
        <sz val="11"/>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</si>
</sst>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numFmt numFmtId="167" formatCode="d\ mmm\ yyyy"/>
  </numFmts>
  <fonts count="67" x14ac:knownFonts="1">
    <font>
      <sz val="10"/>
      <name val="Arial"/>
    </font>
    <font>
      <sz val="10"/>
      <name val="Arial"/>
      <family val="2"/>
    </font>
    <font>
      <u/>
      <sz val="10"/>
      <color indexed="12"/>
      <name val="Arial"/>
      <family val="2"/>
    </font>
    <font>
      <sz val="8"/>
      <name val="Arial"/>
      <family val="2"/>
    </font>
    <font>
      <b/>
      <sz val="12"/>
      <name val="Arial"/>
      <family val="2"/>
    </font>
    <font>
      <sz val="10"/>
      <name val="Arial"/>
      <family val="2"/>
    </font>
    <font>
      <b/>
      <sz val="10"/>
      <name val="Arial"/>
      <family val="2"/>
    </font>
    <font>
      <sz val="8"/>
      <color indexed="81"/>
      <name val="Tahoma"/>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2"/>
      <name val="Arial"/>
      <family val="2"/>
    </font>
    <font>
      <u/>
      <sz val="12"/>
      <color indexed="12"/>
      <name val="Arial"/>
      <family val="2"/>
    </font>
    <font>
      <sz val="18"/>
      <color theme="3"/>
      <name val="Arial"/>
      <family val="2"/>
    </font>
    <font>
      <sz val="18"/>
      <color theme="4" tint="-0.249977111117893"/>
      <name val="Arial"/>
      <family val="2"/>
    </font>
    <font>
      <b/>
      <sz val="12"/>
      <color theme="4" tint="-0.249977111117893"/>
      <name val="Arial"/>
      <family val="2"/>
    </font>
    <font>
      <u/>
      <sz val="14"/>
      <color indexed="12"/>
      <name val="Arial"/>
      <family val="2"/>
    </font>
    <font>
      <i/>
      <sz val="8"/>
      <name val="Arial"/>
      <family val="2"/>
    </font>
    <font>
      <b/>
      <sz val="11"/>
      <name val="Arial"/>
      <family val="2"/>
    </font>
    <font>
      <u/>
      <sz val="11"/>
      <color indexed="12"/>
      <name val="Arial"/>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sz val="8"/>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sz val="16"/>
      <color theme="4" tint="-0.249977111117893"/>
      <name val="Arial"/>
      <family val="1"/>
      <scheme val="major"/>
    </font>
    <font>
      <i/>
      <sz val="8"/>
      <color theme="1" tint="0.34998626667073579"/>
      <name val="Arial"/>
      <family val="2"/>
    </font>
    <font>
      <sz val="14"/>
      <color theme="4" tint="-0.249977111117893"/>
      <name val="Arial"/>
      <family val="2"/>
    </font>
    <font>
      <sz val="11"/>
      <name val="Arial"/>
      <family val="2"/>
    </font>
    <font>
      <sz val="14"/>
      <name val="Arial"/>
      <family val="2"/>
    </font>
    <font>
      <sz val="11"/>
      <color rgb="FFFF0000"/>
      <name val="Arial"/>
      <family val="2"/>
    </font>
    <font>
      <b/>
      <sz val="11"/>
      <color rgb="FFFF0000"/>
      <name val="Arial"/>
      <family val="2"/>
    </font>
    <font>
      <sz val="11"/>
      <color rgb="FF000000"/>
      <name val="Arial"/>
      <family val="2"/>
    </font>
    <font>
      <i/>
      <sz val="11"/>
      <name val="Arial"/>
      <family val="2"/>
    </font>
    <font>
      <b/>
      <sz val="11"/>
      <color theme="4" tint="-0.249977111117893"/>
      <name val="Arial"/>
      <family val="2"/>
    </font>
    <font>
      <sz val="11"/>
      <color theme="4" tint="-0.249977111117893"/>
      <name val="Arial"/>
      <family val="2"/>
    </font>
    <font>
      <i/>
      <sz val="11"/>
      <color rgb="FF000000"/>
      <name val="Arial"/>
      <family val="2"/>
    </font>
    <font>
      <sz val="9"/>
      <color indexed="81"/>
      <name val="Tahoma"/>
      <charset val="1"/>
    </font>
    <font>
      <b/>
      <sz val="9"/>
      <color indexed="81"/>
      <name val="Tahoma"/>
      <charset val="1"/>
    </font>
    <font>
      <b/>
      <sz val="16"/>
      <name val="Arial"/>
      <family val="2"/>
    </font>
    <font>
      <i/>
      <sz val="11"/>
      <color rgb="FFFF0000"/>
      <name val="Arial"/>
      <family val="2"/>
    </font>
  </fonts>
  <fills count="27">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indexed="22"/>
        <bgColor indexed="64"/>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
      <patternFill patternType="solid">
        <fgColor theme="0"/>
        <bgColor indexed="64"/>
      </patternFill>
    </fill>
    <fill>
      <patternFill patternType="solid">
        <fgColor theme="0" tint="-0.14999847407452621"/>
        <bgColor rgb="FFD6F4D9"/>
      </patternFill>
    </fill>
  </fills>
  <borders count="2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top/>
      <bottom style="thin">
        <color indexed="22"/>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top style="medium">
        <color theme="0" tint="-0.34998626667073579"/>
      </top>
      <bottom style="thin">
        <color indexed="64"/>
      </bottom>
      <diagonal/>
    </border>
    <border>
      <left/>
      <right/>
      <top style="thin">
        <color indexed="22"/>
      </top>
      <bottom/>
      <diagonal/>
    </border>
  </borders>
  <cellStyleXfs count="44">
    <xf numFmtId="0" fontId="0" fillId="0" borderId="0"/>
    <xf numFmtId="0" fontId="8" fillId="2"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2"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6"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8"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0"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10" fillId="16" borderId="0" applyNumberFormat="0" applyBorder="0" applyAlignment="0" applyProtection="0"/>
    <xf numFmtId="0" fontId="11" fillId="17" borderId="1" applyNumberFormat="0" applyAlignment="0" applyProtection="0"/>
    <xf numFmtId="0" fontId="12" fillId="18" borderId="2" applyNumberFormat="0" applyAlignment="0" applyProtection="0"/>
    <xf numFmtId="0" fontId="13" fillId="0" borderId="0" applyNumberFormat="0" applyFill="0" applyBorder="0" applyAlignment="0" applyProtection="0"/>
    <xf numFmtId="0" fontId="14" fillId="19" borderId="0" applyNumberFormat="0" applyBorder="0" applyAlignment="0" applyProtection="0"/>
    <xf numFmtId="0" fontId="15" fillId="0" borderId="3"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2" fillId="0" borderId="0" applyNumberFormat="0" applyFill="0" applyBorder="0" applyAlignment="0" applyProtection="0">
      <alignment vertical="top"/>
      <protection locked="0"/>
    </xf>
    <xf numFmtId="0" fontId="18" fillId="11" borderId="1" applyNumberFormat="0" applyAlignment="0" applyProtection="0"/>
    <xf numFmtId="0" fontId="19" fillId="0" borderId="6" applyNumberFormat="0" applyFill="0" applyAlignment="0" applyProtection="0"/>
    <xf numFmtId="0" fontId="20" fillId="5" borderId="0" applyNumberFormat="0" applyBorder="0" applyAlignment="0" applyProtection="0"/>
    <xf numFmtId="0" fontId="5" fillId="5" borderId="7" applyNumberFormat="0" applyFont="0" applyAlignment="0" applyProtection="0"/>
    <xf numFmtId="0" fontId="21" fillId="17" borderId="8" applyNumberFormat="0" applyAlignment="0" applyProtection="0"/>
    <xf numFmtId="9" fontId="1" fillId="0" borderId="0" applyFont="0" applyFill="0" applyBorder="0" applyAlignment="0" applyProtection="0"/>
    <xf numFmtId="0" fontId="22" fillId="0" borderId="0" applyNumberFormat="0" applyFill="0" applyBorder="0" applyAlignment="0" applyProtection="0"/>
    <xf numFmtId="0" fontId="23" fillId="0" borderId="9" applyNumberFormat="0" applyFill="0" applyAlignment="0" applyProtection="0"/>
    <xf numFmtId="0" fontId="24" fillId="0" borderId="0" applyNumberFormat="0" applyFill="0" applyBorder="0" applyAlignment="0" applyProtection="0"/>
  </cellStyleXfs>
  <cellXfs count="140">
    <xf numFmtId="0" fontId="0" fillId="0" borderId="0" xfId="0"/>
    <xf numFmtId="0" fontId="1" fillId="0" borderId="0" xfId="0" applyFont="1"/>
    <xf numFmtId="0" fontId="3" fillId="0" borderId="0" xfId="0" applyFont="1" applyAlignment="1">
      <alignment horizontal="right"/>
    </xf>
    <xf numFmtId="0" fontId="6" fillId="0" borderId="0" xfId="0" applyFont="1"/>
    <xf numFmtId="0" fontId="1" fillId="0" borderId="0" xfId="0" applyFont="1" applyAlignment="1">
      <alignment horizontal="left" wrapText="1" indent="1"/>
    </xf>
    <xf numFmtId="0" fontId="1" fillId="0" borderId="13" xfId="0" applyFont="1" applyBorder="1"/>
    <xf numFmtId="0" fontId="0" fillId="0" borderId="13" xfId="0" applyBorder="1"/>
    <xf numFmtId="0" fontId="25" fillId="0" borderId="13" xfId="0" applyFont="1" applyBorder="1" applyAlignment="1">
      <alignment horizontal="left" wrapText="1"/>
    </xf>
    <xf numFmtId="0" fontId="4" fillId="0" borderId="13" xfId="0" applyFont="1" applyBorder="1" applyAlignment="1">
      <alignment horizontal="left" wrapText="1"/>
    </xf>
    <xf numFmtId="0" fontId="25" fillId="0" borderId="13" xfId="0" applyFont="1" applyBorder="1" applyAlignment="1">
      <alignment horizontal="left"/>
    </xf>
    <xf numFmtId="0" fontId="3" fillId="0" borderId="0" xfId="0" applyFont="1" applyAlignment="1">
      <alignment wrapText="1"/>
    </xf>
    <xf numFmtId="0" fontId="30" fillId="0" borderId="0" xfId="34" applyFont="1" applyAlignment="1" applyProtection="1"/>
    <xf numFmtId="0" fontId="31" fillId="0" borderId="0" xfId="0" applyFont="1"/>
    <xf numFmtId="0" fontId="32" fillId="0" borderId="0" xfId="0" applyFont="1"/>
    <xf numFmtId="0" fontId="29" fillId="0" borderId="0" xfId="0" applyFont="1"/>
    <xf numFmtId="0" fontId="3" fillId="0" borderId="0" xfId="0" applyFont="1" applyAlignment="1">
      <alignment horizontal="left" vertical="center"/>
    </xf>
    <xf numFmtId="0" fontId="2" fillId="0" borderId="0" xfId="34" applyAlignment="1" applyProtection="1">
      <alignment horizontal="left"/>
    </xf>
    <xf numFmtId="0" fontId="28" fillId="0" borderId="0" xfId="0" applyFont="1" applyAlignment="1">
      <alignment vertical="center"/>
    </xf>
    <xf numFmtId="0" fontId="25" fillId="0" borderId="14" xfId="0" applyFont="1" applyBorder="1" applyAlignment="1">
      <alignment horizontal="left" wrapText="1"/>
    </xf>
    <xf numFmtId="0" fontId="26" fillId="0" borderId="13" xfId="34" applyFont="1" applyBorder="1" applyAlignment="1" applyProtection="1">
      <alignment horizontal="left" wrapText="1"/>
    </xf>
    <xf numFmtId="0" fontId="33" fillId="0" borderId="14" xfId="34" applyFont="1" applyBorder="1" applyAlignment="1" applyProtection="1">
      <alignment wrapText="1"/>
    </xf>
    <xf numFmtId="0" fontId="28" fillId="0" borderId="0" xfId="0" applyFont="1" applyAlignment="1">
      <alignment horizontal="left" vertical="center"/>
    </xf>
    <xf numFmtId="0" fontId="27" fillId="0" borderId="0" xfId="0" applyFont="1" applyAlignment="1">
      <alignment horizontal="left" vertical="center"/>
    </xf>
    <xf numFmtId="0" fontId="1" fillId="0" borderId="14" xfId="0" applyFont="1" applyBorder="1"/>
    <xf numFmtId="0" fontId="0" fillId="0" borderId="14" xfId="0" applyBorder="1"/>
    <xf numFmtId="0" fontId="25" fillId="0" borderId="0" xfId="0" applyFont="1" applyAlignment="1">
      <alignment horizontal="left" wrapText="1"/>
    </xf>
    <xf numFmtId="0" fontId="39" fillId="0" borderId="0" xfId="0" applyFont="1"/>
    <xf numFmtId="0" fontId="38" fillId="22" borderId="10" xfId="0" applyFont="1" applyFill="1" applyBorder="1" applyAlignment="1">
      <alignment vertical="center"/>
    </xf>
    <xf numFmtId="0" fontId="38" fillId="0" borderId="10" xfId="0" applyFont="1" applyBorder="1" applyAlignment="1">
      <alignment horizontal="left" vertical="center"/>
    </xf>
    <xf numFmtId="0" fontId="38" fillId="0" borderId="10" xfId="0" applyFont="1" applyBorder="1" applyAlignment="1">
      <alignment vertical="center"/>
    </xf>
    <xf numFmtId="0" fontId="38" fillId="0" borderId="0" xfId="0" applyFont="1" applyAlignment="1">
      <alignment vertical="center"/>
    </xf>
    <xf numFmtId="0" fontId="44" fillId="0" borderId="0" xfId="0" applyFont="1" applyAlignment="1">
      <alignment vertical="center"/>
    </xf>
    <xf numFmtId="166" fontId="3" fillId="0" borderId="12" xfId="0" applyNumberFormat="1" applyFont="1" applyBorder="1" applyAlignment="1">
      <alignment horizontal="center" vertical="center" shrinkToFit="1"/>
    </xf>
    <xf numFmtId="166" fontId="3" fillId="0" borderId="16" xfId="0" applyNumberFormat="1" applyFont="1" applyBorder="1" applyAlignment="1">
      <alignment horizontal="center" vertical="center" shrinkToFit="1"/>
    </xf>
    <xf numFmtId="166" fontId="3" fillId="0" borderId="17" xfId="0" applyNumberFormat="1" applyFont="1" applyBorder="1" applyAlignment="1">
      <alignment horizontal="center" vertical="center" shrinkToFit="1"/>
    </xf>
    <xf numFmtId="1" fontId="46" fillId="22" borderId="15" xfId="0" applyNumberFormat="1" applyFont="1" applyFill="1" applyBorder="1" applyAlignment="1">
      <alignment horizontal="center" vertical="center"/>
    </xf>
    <xf numFmtId="1" fontId="47" fillId="0" borderId="11" xfId="0" applyNumberFormat="1" applyFont="1" applyBorder="1" applyAlignment="1">
      <alignment horizontal="center" vertical="center"/>
    </xf>
    <xf numFmtId="1" fontId="46" fillId="22" borderId="10" xfId="0" applyNumberFormat="1" applyFont="1" applyFill="1" applyBorder="1" applyAlignment="1">
      <alignment horizontal="center" vertical="center"/>
    </xf>
    <xf numFmtId="1" fontId="46" fillId="0" borderId="10" xfId="0" applyNumberFormat="1" applyFont="1" applyBorder="1" applyAlignment="1">
      <alignment horizontal="center" vertical="center"/>
    </xf>
    <xf numFmtId="0" fontId="38" fillId="22" borderId="15" xfId="0" applyFont="1" applyFill="1" applyBorder="1" applyAlignment="1">
      <alignment horizontal="left" vertical="center"/>
    </xf>
    <xf numFmtId="9" fontId="38" fillId="0" borderId="10" xfId="0" applyNumberFormat="1" applyFont="1" applyBorder="1" applyAlignment="1">
      <alignment horizontal="left" vertical="center"/>
    </xf>
    <xf numFmtId="0" fontId="38" fillId="22" borderId="10" xfId="0" applyFont="1" applyFill="1" applyBorder="1" applyAlignment="1">
      <alignment horizontal="left" vertical="center"/>
    </xf>
    <xf numFmtId="0" fontId="49" fillId="0" borderId="18" xfId="0" applyFont="1" applyBorder="1" applyAlignment="1">
      <alignment horizontal="left" vertical="center"/>
    </xf>
    <xf numFmtId="0" fontId="49" fillId="0" borderId="18" xfId="0" applyFont="1" applyBorder="1" applyAlignment="1">
      <alignment horizontal="center" vertical="center" wrapText="1"/>
    </xf>
    <xf numFmtId="0" fontId="50" fillId="0" borderId="18" xfId="0" applyFont="1" applyBorder="1" applyAlignment="1">
      <alignment horizontal="center" vertical="center" wrapText="1"/>
    </xf>
    <xf numFmtId="0" fontId="49" fillId="0" borderId="18" xfId="0" applyFont="1" applyBorder="1" applyAlignment="1">
      <alignment horizontal="center" vertical="center"/>
    </xf>
    <xf numFmtId="0" fontId="38" fillId="0" borderId="19" xfId="0" applyFont="1" applyBorder="1" applyAlignment="1">
      <alignment horizontal="center" vertical="center" shrinkToFit="1"/>
    </xf>
    <xf numFmtId="0" fontId="38" fillId="0" borderId="20" xfId="0" applyFont="1" applyBorder="1" applyAlignment="1">
      <alignment horizontal="center" vertical="center" shrinkToFit="1"/>
    </xf>
    <xf numFmtId="0" fontId="38" fillId="0" borderId="21" xfId="0" applyFont="1" applyBorder="1" applyAlignment="1">
      <alignment horizontal="center" vertical="center" shrinkToFit="1"/>
    </xf>
    <xf numFmtId="0" fontId="53" fillId="0" borderId="0" xfId="0" applyFont="1"/>
    <xf numFmtId="0" fontId="1" fillId="0" borderId="0" xfId="0" applyFont="1" applyAlignment="1">
      <alignment vertical="center"/>
    </xf>
    <xf numFmtId="0" fontId="1" fillId="24" borderId="0" xfId="0" applyFont="1" applyFill="1" applyAlignment="1">
      <alignment horizontal="center" vertical="center"/>
    </xf>
    <xf numFmtId="0" fontId="1" fillId="21" borderId="0" xfId="0" applyFont="1" applyFill="1" applyAlignment="1">
      <alignment horizontal="center" vertical="center"/>
    </xf>
    <xf numFmtId="0" fontId="54" fillId="0" borderId="0" xfId="0" applyFont="1" applyAlignment="1">
      <alignment wrapText="1"/>
    </xf>
    <xf numFmtId="0" fontId="33" fillId="0" borderId="0" xfId="34" applyFont="1" applyAlignment="1" applyProtection="1"/>
    <xf numFmtId="0" fontId="54" fillId="0" borderId="0" xfId="0" applyFont="1" applyAlignment="1">
      <alignment horizontal="left" wrapText="1"/>
    </xf>
    <xf numFmtId="0" fontId="54" fillId="0" borderId="0" xfId="0" applyFont="1" applyAlignment="1">
      <alignment vertical="center" wrapText="1"/>
    </xf>
    <xf numFmtId="0" fontId="55" fillId="0" borderId="0" xfId="0" applyFont="1" applyAlignment="1">
      <alignment vertical="center"/>
    </xf>
    <xf numFmtId="0" fontId="55" fillId="0" borderId="0" xfId="0" applyFont="1"/>
    <xf numFmtId="0" fontId="56" fillId="0" borderId="0" xfId="0" applyFont="1" applyAlignment="1">
      <alignment vertical="center" wrapText="1"/>
    </xf>
    <xf numFmtId="0" fontId="33" fillId="0" borderId="0" xfId="34" applyFont="1" applyFill="1" applyBorder="1" applyAlignment="1" applyProtection="1">
      <alignment vertical="center"/>
    </xf>
    <xf numFmtId="0" fontId="58" fillId="0" borderId="0" xfId="0" applyFont="1" applyAlignment="1">
      <alignment horizontal="right"/>
    </xf>
    <xf numFmtId="0" fontId="54" fillId="0" borderId="0" xfId="0" applyFont="1"/>
    <xf numFmtId="0" fontId="54" fillId="0" borderId="0" xfId="0" applyFont="1" applyAlignment="1">
      <alignment horizontal="left" indent="1"/>
    </xf>
    <xf numFmtId="0" fontId="54" fillId="0" borderId="0" xfId="0" quotePrefix="1" applyFont="1" applyAlignment="1">
      <alignment horizontal="left" wrapText="1" indent="1"/>
    </xf>
    <xf numFmtId="0" fontId="32" fillId="0" borderId="0" xfId="0" quotePrefix="1" applyFont="1" applyAlignment="1">
      <alignment horizontal="left" indent="1"/>
    </xf>
    <xf numFmtId="0" fontId="58" fillId="0" borderId="0" xfId="0" applyFont="1" applyAlignment="1">
      <alignment horizontal="left" wrapText="1"/>
    </xf>
    <xf numFmtId="0" fontId="54" fillId="0" borderId="0" xfId="0" applyFont="1" applyAlignment="1">
      <alignment horizontal="left" vertical="center" wrapText="1"/>
    </xf>
    <xf numFmtId="0" fontId="60" fillId="0" borderId="0" xfId="0" applyFont="1" applyAlignment="1">
      <alignment horizontal="right"/>
    </xf>
    <xf numFmtId="0" fontId="61" fillId="0" borderId="0" xfId="0" applyFont="1" applyAlignment="1">
      <alignment vertical="center" wrapText="1"/>
    </xf>
    <xf numFmtId="0" fontId="54" fillId="0" borderId="0" xfId="0" quotePrefix="1" applyFont="1" applyAlignment="1">
      <alignment wrapText="1"/>
    </xf>
    <xf numFmtId="0" fontId="61" fillId="0" borderId="0" xfId="0" applyFont="1"/>
    <xf numFmtId="0" fontId="60" fillId="0" borderId="0" xfId="0" applyFont="1"/>
    <xf numFmtId="0" fontId="46" fillId="25" borderId="0" xfId="0" applyFont="1" applyFill="1" applyAlignment="1">
      <alignment vertical="center"/>
    </xf>
    <xf numFmtId="1" fontId="46" fillId="25" borderId="10" xfId="0" applyNumberFormat="1" applyFont="1" applyFill="1" applyBorder="1" applyAlignment="1">
      <alignment horizontal="center" vertical="center"/>
    </xf>
    <xf numFmtId="0" fontId="40" fillId="0" borderId="0" xfId="0" applyFont="1" applyAlignment="1" applyProtection="1">
      <alignment vertical="center"/>
      <protection locked="0"/>
    </xf>
    <xf numFmtId="0" fontId="0" fillId="20" borderId="0" xfId="0" applyFill="1"/>
    <xf numFmtId="0" fontId="48" fillId="0" borderId="0" xfId="0" applyFont="1"/>
    <xf numFmtId="0" fontId="48" fillId="0" borderId="0" xfId="0" applyFont="1" applyAlignment="1">
      <alignment horizontal="right" vertical="center"/>
    </xf>
    <xf numFmtId="0" fontId="41" fillId="0" borderId="0" xfId="0" applyFont="1" applyAlignment="1" applyProtection="1">
      <alignment horizontal="center" vertical="center"/>
      <protection locked="0"/>
    </xf>
    <xf numFmtId="0" fontId="38" fillId="22" borderId="0" xfId="0" applyFont="1" applyFill="1" applyAlignment="1">
      <alignment vertical="center"/>
    </xf>
    <xf numFmtId="0" fontId="38" fillId="0" borderId="22" xfId="0" applyFont="1" applyBorder="1" applyAlignment="1">
      <alignment vertical="center"/>
    </xf>
    <xf numFmtId="0" fontId="42" fillId="22" borderId="0" xfId="0" applyFont="1" applyFill="1" applyAlignment="1">
      <alignment horizontal="left" vertical="center"/>
    </xf>
    <xf numFmtId="0" fontId="42" fillId="22" borderId="0" xfId="0" applyFont="1" applyFill="1" applyAlignment="1">
      <alignment vertical="center"/>
    </xf>
    <xf numFmtId="0" fontId="38" fillId="22" borderId="0" xfId="0" applyFont="1" applyFill="1" applyAlignment="1">
      <alignment horizontal="center" vertical="center"/>
    </xf>
    <xf numFmtId="165" fontId="38" fillId="22" borderId="0" xfId="0" applyNumberFormat="1" applyFont="1" applyFill="1" applyAlignment="1">
      <alignment horizontal="center" vertical="center"/>
    </xf>
    <xf numFmtId="1" fontId="38" fillId="22" borderId="0" xfId="40" applyNumberFormat="1" applyFont="1" applyFill="1" applyBorder="1" applyAlignment="1" applyProtection="1">
      <alignment horizontal="center" vertical="center"/>
    </xf>
    <xf numFmtId="9" fontId="38" fillId="22" borderId="0" xfId="40" applyFont="1" applyFill="1" applyBorder="1" applyAlignment="1" applyProtection="1">
      <alignment horizontal="center" vertical="center"/>
    </xf>
    <xf numFmtId="0" fontId="38" fillId="0" borderId="22" xfId="0" applyFont="1" applyBorder="1" applyAlignment="1">
      <alignment horizontal="left" vertical="center"/>
    </xf>
    <xf numFmtId="0" fontId="38" fillId="0" borderId="22" xfId="0" applyFont="1" applyBorder="1" applyAlignment="1">
      <alignment vertical="center" wrapText="1"/>
    </xf>
    <xf numFmtId="0" fontId="43" fillId="0" borderId="22" xfId="0" applyFont="1" applyBorder="1" applyAlignment="1">
      <alignment horizontal="center" vertical="center"/>
    </xf>
    <xf numFmtId="14" fontId="43" fillId="23" borderId="22" xfId="0" applyNumberFormat="1" applyFont="1" applyFill="1" applyBorder="1" applyAlignment="1">
      <alignment horizontal="center" vertical="center"/>
    </xf>
    <xf numFmtId="1" fontId="43" fillId="24" borderId="22" xfId="0" applyNumberFormat="1" applyFont="1" applyFill="1" applyBorder="1" applyAlignment="1">
      <alignment horizontal="center" vertical="center"/>
    </xf>
    <xf numFmtId="9" fontId="43" fillId="24" borderId="22" xfId="40" applyFont="1" applyFill="1" applyBorder="1" applyAlignment="1" applyProtection="1">
      <alignment horizontal="center" vertical="center"/>
    </xf>
    <xf numFmtId="1" fontId="43" fillId="0" borderId="22" xfId="0" applyNumberFormat="1" applyFont="1" applyBorder="1" applyAlignment="1">
      <alignment horizontal="center" vertical="center"/>
    </xf>
    <xf numFmtId="1" fontId="47" fillId="0" borderId="0" xfId="0" applyNumberFormat="1" applyFont="1" applyAlignment="1">
      <alignment horizontal="center" vertical="center"/>
    </xf>
    <xf numFmtId="14" fontId="43" fillId="0" borderId="22" xfId="0" applyNumberFormat="1" applyFont="1" applyBorder="1" applyAlignment="1">
      <alignment horizontal="center" vertical="center"/>
    </xf>
    <xf numFmtId="14" fontId="43" fillId="25" borderId="22" xfId="0" applyNumberFormat="1" applyFont="1" applyFill="1" applyBorder="1" applyAlignment="1">
      <alignment horizontal="center" vertical="center"/>
    </xf>
    <xf numFmtId="0" fontId="52" fillId="0" borderId="0" xfId="34" applyFont="1" applyBorder="1" applyAlignment="1" applyProtection="1">
      <alignment vertical="center"/>
    </xf>
    <xf numFmtId="1" fontId="43" fillId="0" borderId="23" xfId="0" applyNumberFormat="1" applyFont="1" applyBorder="1" applyAlignment="1">
      <alignment horizontal="center" vertical="center"/>
    </xf>
    <xf numFmtId="0" fontId="38" fillId="25" borderId="22" xfId="0" applyFont="1" applyFill="1" applyBorder="1" applyAlignment="1">
      <alignment horizontal="center" vertical="center"/>
    </xf>
    <xf numFmtId="0" fontId="38" fillId="0" borderId="23" xfId="0" applyFont="1" applyBorder="1" applyAlignment="1">
      <alignment vertical="center" wrapText="1"/>
    </xf>
    <xf numFmtId="0" fontId="43" fillId="0" borderId="23" xfId="0" applyFont="1" applyBorder="1" applyAlignment="1">
      <alignment horizontal="center" vertical="center"/>
    </xf>
    <xf numFmtId="14" fontId="43" fillId="0" borderId="23" xfId="0" applyNumberFormat="1" applyFont="1" applyBorder="1" applyAlignment="1">
      <alignment horizontal="center" vertical="center"/>
    </xf>
    <xf numFmtId="1" fontId="43" fillId="24" borderId="23" xfId="0" applyNumberFormat="1" applyFont="1" applyFill="1" applyBorder="1" applyAlignment="1">
      <alignment horizontal="center" vertical="center"/>
    </xf>
    <xf numFmtId="9" fontId="43" fillId="24" borderId="23" xfId="40" applyFont="1" applyFill="1" applyBorder="1" applyAlignment="1" applyProtection="1">
      <alignment horizontal="center" vertical="center"/>
    </xf>
    <xf numFmtId="0" fontId="38" fillId="0" borderId="24" xfId="0" applyFont="1" applyBorder="1" applyAlignment="1">
      <alignment vertical="center" wrapText="1"/>
    </xf>
    <xf numFmtId="0" fontId="38" fillId="0" borderId="24" xfId="0" applyFont="1" applyBorder="1" applyAlignment="1">
      <alignment vertical="center"/>
    </xf>
    <xf numFmtId="0" fontId="43" fillId="0" borderId="24" xfId="0" applyFont="1" applyBorder="1" applyAlignment="1">
      <alignment horizontal="center" vertical="center"/>
    </xf>
    <xf numFmtId="14" fontId="43" fillId="0" borderId="24" xfId="0" applyNumberFormat="1" applyFont="1" applyBorder="1" applyAlignment="1">
      <alignment horizontal="center" vertical="center"/>
    </xf>
    <xf numFmtId="1" fontId="43" fillId="24" borderId="24" xfId="0" applyNumberFormat="1" applyFont="1" applyFill="1" applyBorder="1" applyAlignment="1">
      <alignment horizontal="center" vertical="center"/>
    </xf>
    <xf numFmtId="9" fontId="43" fillId="24" borderId="24" xfId="40" applyFont="1" applyFill="1" applyBorder="1" applyAlignment="1" applyProtection="1">
      <alignment horizontal="center" vertical="center"/>
    </xf>
    <xf numFmtId="1" fontId="43" fillId="0" borderId="24" xfId="0" applyNumberFormat="1" applyFont="1" applyBorder="1" applyAlignment="1">
      <alignment horizontal="center" vertical="center"/>
    </xf>
    <xf numFmtId="9" fontId="43" fillId="24" borderId="22" xfId="40" applyFont="1" applyFill="1" applyBorder="1" applyAlignment="1">
      <alignment horizontal="center" vertical="center"/>
    </xf>
    <xf numFmtId="1" fontId="46" fillId="25" borderId="0" xfId="0" applyNumberFormat="1" applyFont="1" applyFill="1" applyAlignment="1">
      <alignment horizontal="center" vertical="center"/>
    </xf>
    <xf numFmtId="0" fontId="38" fillId="25" borderId="10" xfId="0" applyFont="1" applyFill="1" applyBorder="1" applyAlignment="1">
      <alignment horizontal="left" vertical="center"/>
    </xf>
    <xf numFmtId="0" fontId="38" fillId="25" borderId="10" xfId="0" applyFont="1" applyFill="1" applyBorder="1" applyAlignment="1">
      <alignment vertical="center"/>
    </xf>
    <xf numFmtId="1" fontId="43" fillId="0" borderId="25" xfId="0" applyNumberFormat="1" applyFont="1" applyBorder="1" applyAlignment="1">
      <alignment horizontal="center" vertical="center"/>
    </xf>
    <xf numFmtId="0" fontId="38" fillId="25" borderId="23" xfId="0" applyFont="1" applyFill="1" applyBorder="1" applyAlignment="1">
      <alignment horizontal="center" vertical="center"/>
    </xf>
    <xf numFmtId="9" fontId="43" fillId="24" borderId="23" xfId="40" applyFont="1" applyFill="1" applyBorder="1" applyAlignment="1">
      <alignment horizontal="center" vertical="center"/>
    </xf>
    <xf numFmtId="1" fontId="38" fillId="22" borderId="0" xfId="0" applyNumberFormat="1" applyFont="1" applyFill="1" applyAlignment="1">
      <alignment horizontal="center" vertical="center"/>
    </xf>
    <xf numFmtId="0" fontId="1" fillId="0" borderId="0" xfId="0" applyFont="1" applyAlignment="1">
      <alignment horizontal="center" vertical="center"/>
    </xf>
    <xf numFmtId="0" fontId="38" fillId="0" borderId="0" xfId="0" applyFont="1" applyAlignment="1">
      <alignment horizontal="left" vertical="center"/>
    </xf>
    <xf numFmtId="14" fontId="43" fillId="26" borderId="22" xfId="0" applyNumberFormat="1" applyFont="1" applyFill="1" applyBorder="1" applyAlignment="1">
      <alignment horizontal="center" vertical="center"/>
    </xf>
    <xf numFmtId="0" fontId="38" fillId="0" borderId="28" xfId="0" applyFont="1" applyBorder="1" applyAlignment="1">
      <alignment vertical="center"/>
    </xf>
    <xf numFmtId="0" fontId="42" fillId="22" borderId="26" xfId="0" applyFont="1" applyFill="1" applyBorder="1" applyAlignment="1">
      <alignment vertical="center" wrapText="1"/>
    </xf>
    <xf numFmtId="0" fontId="42" fillId="22" borderId="27" xfId="0" applyFont="1" applyFill="1" applyBorder="1" applyAlignment="1">
      <alignment vertical="center"/>
    </xf>
    <xf numFmtId="0" fontId="51" fillId="0" borderId="0" xfId="0" applyFont="1" applyAlignment="1" applyProtection="1">
      <alignment horizontal="center" vertical="center"/>
      <protection locked="0"/>
    </xf>
    <xf numFmtId="0" fontId="65" fillId="0" borderId="0" xfId="0" applyFont="1" applyAlignment="1" applyProtection="1">
      <alignment horizontal="center" wrapText="1"/>
      <protection locked="0"/>
    </xf>
    <xf numFmtId="0" fontId="45" fillId="0" borderId="16" xfId="0" applyFont="1" applyBorder="1" applyAlignment="1">
      <alignment horizontal="center" vertical="center"/>
    </xf>
    <xf numFmtId="0" fontId="45" fillId="0" borderId="12" xfId="0" applyFont="1" applyBorder="1" applyAlignment="1">
      <alignment horizontal="center" vertical="center"/>
    </xf>
    <xf numFmtId="0" fontId="45" fillId="0" borderId="17" xfId="0" applyFont="1" applyBorder="1" applyAlignment="1">
      <alignment horizontal="center" vertical="center"/>
    </xf>
    <xf numFmtId="167" fontId="41" fillId="0" borderId="16" xfId="0" applyNumberFormat="1" applyFont="1" applyBorder="1" applyAlignment="1">
      <alignment horizontal="center" vertical="center"/>
    </xf>
    <xf numFmtId="167" fontId="41" fillId="0" borderId="12" xfId="0" applyNumberFormat="1" applyFont="1" applyBorder="1" applyAlignment="1">
      <alignment horizontal="center" vertical="center"/>
    </xf>
    <xf numFmtId="167" fontId="41" fillId="0" borderId="17" xfId="0" applyNumberFormat="1" applyFont="1" applyBorder="1" applyAlignment="1">
      <alignment horizontal="center" vertical="center"/>
    </xf>
    <xf numFmtId="164" fontId="41" fillId="0" borderId="0" xfId="0" applyNumberFormat="1" applyFont="1" applyAlignment="1" applyProtection="1">
      <alignment horizontal="center" vertical="center" shrinkToFit="1"/>
      <protection locked="0"/>
    </xf>
    <xf numFmtId="14" fontId="41" fillId="0" borderId="0" xfId="0" applyNumberFormat="1" applyFont="1" applyAlignment="1" applyProtection="1">
      <alignment horizontal="center" vertical="center" shrinkToFit="1"/>
      <protection locked="0"/>
    </xf>
    <xf numFmtId="0" fontId="53" fillId="0" borderId="0" xfId="0" applyFont="1" applyAlignment="1">
      <alignment horizontal="left"/>
    </xf>
    <xf numFmtId="0" fontId="39" fillId="0" borderId="0" xfId="0" applyFont="1" applyAlignment="1">
      <alignment horizontal="right" vertical="center"/>
    </xf>
    <xf numFmtId="0" fontId="48" fillId="0" borderId="0" xfId="0" applyFont="1" applyAlignment="1">
      <alignment horizontal="center" vertical="center" wrapText="1"/>
    </xf>
  </cellXfs>
  <cellStyles count="44">
    <cellStyle name="20% — akcent 1" xfId="1" builtinId="30" customBuiltin="1"/>
    <cellStyle name="20% — akcent 2" xfId="2" builtinId="34" customBuiltin="1"/>
    <cellStyle name="20% — akcent 3" xfId="3" builtinId="38" customBuiltin="1"/>
    <cellStyle name="20% — akcent 4" xfId="4" builtinId="42" customBuiltin="1"/>
    <cellStyle name="20% — akcent 5" xfId="5" builtinId="46" customBuiltin="1"/>
    <cellStyle name="20% — akcent 6" xfId="6" builtinId="50" customBuiltin="1"/>
    <cellStyle name="40% — akcent 1" xfId="7" builtinId="31" customBuiltin="1"/>
    <cellStyle name="40% — akcent 2" xfId="8" builtinId="35" customBuiltin="1"/>
    <cellStyle name="40% — akcent 3" xfId="9" builtinId="39" customBuiltin="1"/>
    <cellStyle name="40% — akcent 4" xfId="10" builtinId="43" customBuiltin="1"/>
    <cellStyle name="40% — akcent 5" xfId="11" builtinId="47" customBuiltin="1"/>
    <cellStyle name="40% — akcent 6" xfId="12" builtinId="51" customBuiltin="1"/>
    <cellStyle name="60% — akcent 1" xfId="13" builtinId="32" customBuiltin="1"/>
    <cellStyle name="60% — akcent 2" xfId="14" builtinId="36" customBuiltin="1"/>
    <cellStyle name="60% — akcent 3" xfId="15" builtinId="40" customBuiltin="1"/>
    <cellStyle name="60% — akcent 4" xfId="16" builtinId="44" customBuiltin="1"/>
    <cellStyle name="60% — akcent 5" xfId="17" builtinId="48" customBuiltin="1"/>
    <cellStyle name="60% — akcent 6" xfId="18" builtinId="52" customBuiltin="1"/>
    <cellStyle name="Akcent 1" xfId="19" builtinId="29" customBuiltin="1"/>
    <cellStyle name="Akcent 2" xfId="20" builtinId="33" customBuiltin="1"/>
    <cellStyle name="Akcent 3" xfId="21" builtinId="37" customBuiltin="1"/>
    <cellStyle name="Akcent 4" xfId="22" builtinId="41" customBuiltin="1"/>
    <cellStyle name="Akcent 5" xfId="23" builtinId="45" customBuiltin="1"/>
    <cellStyle name="Akcent 6" xfId="24" builtinId="49" customBuiltin="1"/>
    <cellStyle name="Dane wejściowe" xfId="35" builtinId="20" customBuiltin="1"/>
    <cellStyle name="Dane wyjściowe" xfId="39" builtinId="21" customBuiltin="1"/>
    <cellStyle name="Dobry" xfId="29" builtinId="26" customBuiltin="1"/>
    <cellStyle name="Hiperłącze" xfId="34" builtinId="8"/>
    <cellStyle name="Komórka połączona" xfId="36" builtinId="24" customBuiltin="1"/>
    <cellStyle name="Komórka zaznaczona" xfId="27" builtinId="23" customBuiltin="1"/>
    <cellStyle name="Nagłówek 1" xfId="30" builtinId="16" customBuiltin="1"/>
    <cellStyle name="Nagłówek 2" xfId="31" builtinId="17" customBuiltin="1"/>
    <cellStyle name="Nagłówek 3" xfId="32" builtinId="18" customBuiltin="1"/>
    <cellStyle name="Nagłówek 4" xfId="33" builtinId="19" customBuiltin="1"/>
    <cellStyle name="Neutralny" xfId="37" builtinId="28" customBuiltin="1"/>
    <cellStyle name="Normalny" xfId="0" builtinId="0"/>
    <cellStyle name="Obliczenia" xfId="26" builtinId="22" customBuiltin="1"/>
    <cellStyle name="Procentowy" xfId="40" builtinId="5"/>
    <cellStyle name="Suma" xfId="42" builtinId="25" customBuiltin="1"/>
    <cellStyle name="Tekst objaśnienia" xfId="28" builtinId="53" customBuiltin="1"/>
    <cellStyle name="Tekst ostrzeżenia" xfId="43" builtinId="11" customBuiltin="1"/>
    <cellStyle name="Tytuł" xfId="41" builtinId="15" customBuiltin="1"/>
    <cellStyle name="Uwaga" xfId="38" builtinId="10" customBuiltin="1"/>
    <cellStyle name="Zły" xfId="25" builtinId="27" customBuiltin="1"/>
  </cellStyles>
  <dxfs count="4">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9900"/>
      <color rgb="FFFFCCCC"/>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Scroll" dx="22" fmlaLink="$H$4" horiz="1" max="100" min="1" page="0"/>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5</xdr:col>
      <xdr:colOff>72390</xdr:colOff>
      <xdr:row>5</xdr:row>
      <xdr:rowOff>139065</xdr:rowOff>
    </xdr:from>
    <xdr:to>
      <xdr:col>18</xdr:col>
      <xdr:colOff>41910</xdr:colOff>
      <xdr:row>10</xdr:row>
      <xdr:rowOff>4233</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9</xdr:col>
          <xdr:colOff>99060</xdr:colOff>
          <xdr:row>1</xdr:row>
          <xdr:rowOff>121920</xdr:rowOff>
        </xdr:from>
        <xdr:to>
          <xdr:col>27</xdr:col>
          <xdr:colOff>114300</xdr:colOff>
          <xdr:row>1</xdr:row>
          <xdr:rowOff>350520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121921</xdr:colOff>
      <xdr:row>2</xdr:row>
      <xdr:rowOff>129540</xdr:rowOff>
    </xdr:from>
    <xdr:to>
      <xdr:col>1</xdr:col>
      <xdr:colOff>2141220</xdr:colOff>
      <xdr:row>12</xdr:row>
      <xdr:rowOff>198120</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3396" y="548640"/>
          <a:ext cx="2019299" cy="175450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2135505</xdr:colOff>
      <xdr:row>0</xdr:row>
      <xdr:rowOff>0</xdr:rowOff>
    </xdr:from>
    <xdr:to>
      <xdr:col>2</xdr:col>
      <xdr:colOff>3611880</xdr:colOff>
      <xdr:row>0</xdr:row>
      <xdr:rowOff>340995</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21580" y="0"/>
          <a:ext cx="1476375" cy="3409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4495800</xdr:colOff>
      <xdr:row>0</xdr:row>
      <xdr:rowOff>1</xdr:rowOff>
    </xdr:from>
    <xdr:to>
      <xdr:col>1</xdr:col>
      <xdr:colOff>6000750</xdr:colOff>
      <xdr:row>0</xdr:row>
      <xdr:rowOff>338615</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7275" y="1"/>
          <a:ext cx="1504950" cy="33861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43374" y="1"/>
          <a:ext cx="1609725" cy="362188"/>
        </a:xfrm>
        <a:prstGeom prst="rect">
          <a:avLst/>
        </a:prstGeom>
      </xdr:spPr>
    </xdr:pic>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blog/business/pm/new-gantt-chart-for-excel-online.html" TargetMode="External"/><Relationship Id="rId2" Type="http://schemas.openxmlformats.org/officeDocument/2006/relationships/hyperlink" Target="https://www.vertex42.com/Links/go.php?urlid=GanttChartPro" TargetMode="External"/><Relationship Id="rId1" Type="http://schemas.openxmlformats.org/officeDocument/2006/relationships/hyperlink" Target="https://www.vertex42.com/Links/go.php?urlid=GanttChartPro"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excel.uservoice.com/forums/304921-excel-for-windows-desktop-application/suggestions/19676413-make-paste-and-merge-conditional-formatting-the" TargetMode="External"/><Relationship Id="rId7" Type="http://schemas.openxmlformats.org/officeDocument/2006/relationships/comments" Target="../comments2.xml"/><Relationship Id="rId2" Type="http://schemas.openxmlformats.org/officeDocument/2006/relationships/hyperlink" Target="https://www.vertex42.com/ExcelTemplates/excel-gantt-chart.html" TargetMode="External"/><Relationship Id="rId1" Type="http://schemas.openxmlformats.org/officeDocument/2006/relationships/hyperlink" Target="https://www.vertex42.com/Links/go.php?urlid=GanttChartPro" TargetMode="External"/><Relationship Id="rId6" Type="http://schemas.openxmlformats.org/officeDocument/2006/relationships/vmlDrawing" Target="../drawings/vmlDrawing2.vm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excel-gantt-chart.html" TargetMode="Externa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BN96"/>
  <sheetViews>
    <sheetView showGridLines="0" tabSelected="1" zoomScale="80" zoomScaleNormal="80" workbookViewId="0">
      <pane ySplit="7" topLeftCell="A8" activePane="bottomLeft" state="frozen"/>
      <selection pane="bottomLeft" activeCell="U13" sqref="U13"/>
    </sheetView>
  </sheetViews>
  <sheetFormatPr defaultColWidth="9.109375" defaultRowHeight="13.2" x14ac:dyDescent="0.25"/>
  <cols>
    <col min="1" max="1" width="8.6640625" customWidth="1"/>
    <col min="2" max="2" width="46.33203125" customWidth="1"/>
    <col min="3" max="3" width="7.6640625" customWidth="1"/>
    <col min="4" max="4" width="6.88671875" hidden="1" customWidth="1"/>
    <col min="5" max="6" width="12" customWidth="1"/>
    <col min="7" max="7" width="6" customWidth="1"/>
    <col min="8" max="8" width="6.6640625" customWidth="1"/>
    <col min="9" max="9" width="6.44140625" customWidth="1"/>
    <col min="10" max="10" width="1.88671875" customWidth="1"/>
    <col min="11" max="66" width="2.44140625" customWidth="1"/>
  </cols>
  <sheetData>
    <row r="1" spans="1:66" ht="20.399999999999999" x14ac:dyDescent="0.25">
      <c r="A1" s="127" t="s">
        <v>138</v>
      </c>
      <c r="B1" s="127"/>
      <c r="C1" s="127"/>
      <c r="D1" s="127"/>
      <c r="E1" s="127"/>
      <c r="F1" s="127"/>
      <c r="G1" s="127"/>
      <c r="H1" s="127"/>
      <c r="I1" s="127"/>
      <c r="J1" s="127"/>
      <c r="K1" s="127"/>
      <c r="L1" s="127"/>
      <c r="M1" s="127"/>
      <c r="N1" s="127"/>
      <c r="O1" s="127"/>
      <c r="P1" s="127"/>
      <c r="Q1" s="98"/>
      <c r="R1" s="98"/>
      <c r="S1" s="98"/>
      <c r="T1" s="98"/>
      <c r="U1" s="98"/>
      <c r="V1" s="98"/>
      <c r="W1" s="98"/>
      <c r="X1" s="98"/>
      <c r="Y1" s="98"/>
      <c r="Z1" s="98"/>
      <c r="AA1" s="98"/>
      <c r="AB1" s="98"/>
      <c r="AC1" s="98"/>
      <c r="AD1" s="98"/>
      <c r="AE1" s="98"/>
    </row>
    <row r="2" spans="1:66" ht="34.200000000000003" customHeight="1" x14ac:dyDescent="0.4">
      <c r="A2" s="75"/>
      <c r="B2" s="128" t="s">
        <v>160</v>
      </c>
      <c r="C2" s="128"/>
      <c r="D2" s="128"/>
      <c r="E2" s="128"/>
      <c r="F2" s="128"/>
      <c r="G2" s="128"/>
      <c r="H2" s="128"/>
      <c r="I2" s="128"/>
    </row>
    <row r="3" spans="1:66" ht="13.8" x14ac:dyDescent="0.25">
      <c r="A3" s="75"/>
      <c r="B3" s="1"/>
      <c r="H3" s="76"/>
      <c r="K3" s="16"/>
      <c r="L3" s="16"/>
      <c r="M3" s="16"/>
      <c r="N3" s="16"/>
      <c r="O3" s="16"/>
      <c r="P3" s="16"/>
      <c r="Q3" s="16"/>
      <c r="R3" s="16"/>
      <c r="S3" s="16"/>
      <c r="T3" s="16"/>
      <c r="U3" s="16"/>
      <c r="V3" s="16"/>
      <c r="W3" s="16"/>
      <c r="X3" s="16"/>
      <c r="Y3" s="16"/>
      <c r="Z3" s="16"/>
      <c r="AA3" s="16"/>
    </row>
    <row r="4" spans="1:66" ht="13.8" x14ac:dyDescent="0.25">
      <c r="A4" s="77"/>
      <c r="B4" s="78" t="s">
        <v>0</v>
      </c>
      <c r="C4" s="136">
        <v>46094</v>
      </c>
      <c r="D4" s="136"/>
      <c r="E4" s="136"/>
      <c r="F4" s="139" t="s">
        <v>148</v>
      </c>
      <c r="G4" s="139"/>
      <c r="H4" s="79">
        <v>1</v>
      </c>
      <c r="I4" s="1"/>
      <c r="J4" s="26"/>
      <c r="K4" s="129" t="s">
        <v>1</v>
      </c>
      <c r="L4" s="130"/>
      <c r="M4" s="130"/>
      <c r="N4" s="130"/>
      <c r="O4" s="130"/>
      <c r="P4" s="130"/>
      <c r="Q4" s="131"/>
      <c r="R4" s="129" t="s">
        <v>2</v>
      </c>
      <c r="S4" s="130"/>
      <c r="T4" s="130"/>
      <c r="U4" s="130"/>
      <c r="V4" s="130"/>
      <c r="W4" s="130"/>
      <c r="X4" s="131"/>
      <c r="Y4" s="129" t="s">
        <v>3</v>
      </c>
      <c r="Z4" s="130"/>
      <c r="AA4" s="130"/>
      <c r="AB4" s="130"/>
      <c r="AC4" s="130"/>
      <c r="AD4" s="130"/>
      <c r="AE4" s="131"/>
      <c r="AF4" s="129" t="s">
        <v>4</v>
      </c>
      <c r="AG4" s="130"/>
      <c r="AH4" s="130"/>
      <c r="AI4" s="130"/>
      <c r="AJ4" s="130"/>
      <c r="AK4" s="130"/>
      <c r="AL4" s="131"/>
      <c r="AM4" s="129" t="s">
        <v>5</v>
      </c>
      <c r="AN4" s="130"/>
      <c r="AO4" s="130"/>
      <c r="AP4" s="130"/>
      <c r="AQ4" s="130"/>
      <c r="AR4" s="130"/>
      <c r="AS4" s="131"/>
      <c r="AT4" s="129" t="s">
        <v>6</v>
      </c>
      <c r="AU4" s="130"/>
      <c r="AV4" s="130"/>
      <c r="AW4" s="130"/>
      <c r="AX4" s="130"/>
      <c r="AY4" s="130"/>
      <c r="AZ4" s="131"/>
      <c r="BA4" s="129" t="s">
        <v>7</v>
      </c>
      <c r="BB4" s="130"/>
      <c r="BC4" s="130"/>
      <c r="BD4" s="130"/>
      <c r="BE4" s="130"/>
      <c r="BF4" s="130"/>
      <c r="BG4" s="131"/>
      <c r="BH4" s="129" t="s">
        <v>8</v>
      </c>
      <c r="BI4" s="130"/>
      <c r="BJ4" s="130"/>
      <c r="BK4" s="130"/>
      <c r="BL4" s="130"/>
      <c r="BM4" s="130"/>
      <c r="BN4" s="131"/>
    </row>
    <row r="5" spans="1:66" x14ac:dyDescent="0.25">
      <c r="A5" s="77"/>
      <c r="B5" s="78" t="s">
        <v>139</v>
      </c>
      <c r="C5" s="135" t="s">
        <v>140</v>
      </c>
      <c r="D5" s="135"/>
      <c r="E5" s="135"/>
      <c r="F5" s="77"/>
      <c r="G5" s="77"/>
      <c r="H5" s="77"/>
      <c r="I5" s="77"/>
      <c r="J5" s="26"/>
      <c r="K5" s="132">
        <f>K6</f>
        <v>46090</v>
      </c>
      <c r="L5" s="133"/>
      <c r="M5" s="133"/>
      <c r="N5" s="133"/>
      <c r="O5" s="133"/>
      <c r="P5" s="133"/>
      <c r="Q5" s="134"/>
      <c r="R5" s="132">
        <f>R6</f>
        <v>46097</v>
      </c>
      <c r="S5" s="133"/>
      <c r="T5" s="133"/>
      <c r="U5" s="133"/>
      <c r="V5" s="133"/>
      <c r="W5" s="133"/>
      <c r="X5" s="134"/>
      <c r="Y5" s="132">
        <f>Y6</f>
        <v>46104</v>
      </c>
      <c r="Z5" s="133"/>
      <c r="AA5" s="133"/>
      <c r="AB5" s="133"/>
      <c r="AC5" s="133"/>
      <c r="AD5" s="133"/>
      <c r="AE5" s="134"/>
      <c r="AF5" s="132">
        <f>AF6</f>
        <v>46111</v>
      </c>
      <c r="AG5" s="133"/>
      <c r="AH5" s="133"/>
      <c r="AI5" s="133"/>
      <c r="AJ5" s="133"/>
      <c r="AK5" s="133"/>
      <c r="AL5" s="134"/>
      <c r="AM5" s="132">
        <f>AM6</f>
        <v>46118</v>
      </c>
      <c r="AN5" s="133"/>
      <c r="AO5" s="133"/>
      <c r="AP5" s="133"/>
      <c r="AQ5" s="133"/>
      <c r="AR5" s="133"/>
      <c r="AS5" s="134"/>
      <c r="AT5" s="132">
        <f>AT6</f>
        <v>46125</v>
      </c>
      <c r="AU5" s="133"/>
      <c r="AV5" s="133"/>
      <c r="AW5" s="133"/>
      <c r="AX5" s="133"/>
      <c r="AY5" s="133"/>
      <c r="AZ5" s="134"/>
      <c r="BA5" s="132">
        <f>BA6</f>
        <v>46132</v>
      </c>
      <c r="BB5" s="133"/>
      <c r="BC5" s="133"/>
      <c r="BD5" s="133"/>
      <c r="BE5" s="133"/>
      <c r="BF5" s="133"/>
      <c r="BG5" s="134"/>
      <c r="BH5" s="132">
        <f>BH6</f>
        <v>46139</v>
      </c>
      <c r="BI5" s="133"/>
      <c r="BJ5" s="133"/>
      <c r="BK5" s="133"/>
      <c r="BL5" s="133"/>
      <c r="BM5" s="133"/>
      <c r="BN5" s="134"/>
    </row>
    <row r="6" spans="1:66" x14ac:dyDescent="0.25">
      <c r="A6" s="26"/>
      <c r="B6" s="138" t="s">
        <v>141</v>
      </c>
      <c r="C6" s="26" t="s">
        <v>142</v>
      </c>
      <c r="D6" s="26"/>
      <c r="E6" s="26"/>
      <c r="F6" s="26"/>
      <c r="G6" s="26"/>
      <c r="H6" s="26"/>
      <c r="I6" s="26"/>
      <c r="J6" s="26"/>
      <c r="K6" s="33">
        <f>C4-WEEKDAY(C4,1)+2+7*(H4-1)</f>
        <v>46090</v>
      </c>
      <c r="L6" s="32">
        <f t="shared" ref="L6:AQ6" si="0">K6+1</f>
        <v>46091</v>
      </c>
      <c r="M6" s="32">
        <f t="shared" si="0"/>
        <v>46092</v>
      </c>
      <c r="N6" s="32">
        <f t="shared" si="0"/>
        <v>46093</v>
      </c>
      <c r="O6" s="32">
        <f t="shared" si="0"/>
        <v>46094</v>
      </c>
      <c r="P6" s="32">
        <f t="shared" si="0"/>
        <v>46095</v>
      </c>
      <c r="Q6" s="34">
        <f t="shared" si="0"/>
        <v>46096</v>
      </c>
      <c r="R6" s="33">
        <f t="shared" si="0"/>
        <v>46097</v>
      </c>
      <c r="S6" s="32">
        <f t="shared" si="0"/>
        <v>46098</v>
      </c>
      <c r="T6" s="32">
        <f t="shared" si="0"/>
        <v>46099</v>
      </c>
      <c r="U6" s="32">
        <f t="shared" si="0"/>
        <v>46100</v>
      </c>
      <c r="V6" s="32">
        <f t="shared" si="0"/>
        <v>46101</v>
      </c>
      <c r="W6" s="32">
        <f t="shared" si="0"/>
        <v>46102</v>
      </c>
      <c r="X6" s="34">
        <f t="shared" si="0"/>
        <v>46103</v>
      </c>
      <c r="Y6" s="33">
        <f t="shared" si="0"/>
        <v>46104</v>
      </c>
      <c r="Z6" s="32">
        <f t="shared" si="0"/>
        <v>46105</v>
      </c>
      <c r="AA6" s="32">
        <f t="shared" si="0"/>
        <v>46106</v>
      </c>
      <c r="AB6" s="32">
        <f t="shared" si="0"/>
        <v>46107</v>
      </c>
      <c r="AC6" s="32">
        <f t="shared" si="0"/>
        <v>46108</v>
      </c>
      <c r="AD6" s="32">
        <f t="shared" si="0"/>
        <v>46109</v>
      </c>
      <c r="AE6" s="34">
        <f t="shared" si="0"/>
        <v>46110</v>
      </c>
      <c r="AF6" s="33">
        <f t="shared" si="0"/>
        <v>46111</v>
      </c>
      <c r="AG6" s="32">
        <f t="shared" si="0"/>
        <v>46112</v>
      </c>
      <c r="AH6" s="32">
        <f t="shared" si="0"/>
        <v>46113</v>
      </c>
      <c r="AI6" s="32">
        <f t="shared" si="0"/>
        <v>46114</v>
      </c>
      <c r="AJ6" s="32">
        <f t="shared" si="0"/>
        <v>46115</v>
      </c>
      <c r="AK6" s="32">
        <f t="shared" si="0"/>
        <v>46116</v>
      </c>
      <c r="AL6" s="34">
        <f t="shared" si="0"/>
        <v>46117</v>
      </c>
      <c r="AM6" s="33">
        <f t="shared" si="0"/>
        <v>46118</v>
      </c>
      <c r="AN6" s="32">
        <f t="shared" si="0"/>
        <v>46119</v>
      </c>
      <c r="AO6" s="32">
        <f t="shared" si="0"/>
        <v>46120</v>
      </c>
      <c r="AP6" s="32">
        <f t="shared" si="0"/>
        <v>46121</v>
      </c>
      <c r="AQ6" s="32">
        <f t="shared" si="0"/>
        <v>46122</v>
      </c>
      <c r="AR6" s="32">
        <f t="shared" ref="AR6:BN6" si="1">AQ6+1</f>
        <v>46123</v>
      </c>
      <c r="AS6" s="34">
        <f t="shared" si="1"/>
        <v>46124</v>
      </c>
      <c r="AT6" s="33">
        <f t="shared" si="1"/>
        <v>46125</v>
      </c>
      <c r="AU6" s="32">
        <f t="shared" si="1"/>
        <v>46126</v>
      </c>
      <c r="AV6" s="32">
        <f t="shared" si="1"/>
        <v>46127</v>
      </c>
      <c r="AW6" s="32">
        <f t="shared" si="1"/>
        <v>46128</v>
      </c>
      <c r="AX6" s="32">
        <f t="shared" si="1"/>
        <v>46129</v>
      </c>
      <c r="AY6" s="32">
        <f t="shared" si="1"/>
        <v>46130</v>
      </c>
      <c r="AZ6" s="34">
        <f t="shared" si="1"/>
        <v>46131</v>
      </c>
      <c r="BA6" s="33">
        <f t="shared" si="1"/>
        <v>46132</v>
      </c>
      <c r="BB6" s="32">
        <f t="shared" si="1"/>
        <v>46133</v>
      </c>
      <c r="BC6" s="32">
        <f t="shared" si="1"/>
        <v>46134</v>
      </c>
      <c r="BD6" s="32">
        <f t="shared" si="1"/>
        <v>46135</v>
      </c>
      <c r="BE6" s="32">
        <f t="shared" si="1"/>
        <v>46136</v>
      </c>
      <c r="BF6" s="32">
        <f t="shared" si="1"/>
        <v>46137</v>
      </c>
      <c r="BG6" s="34">
        <f t="shared" si="1"/>
        <v>46138</v>
      </c>
      <c r="BH6" s="33">
        <f t="shared" si="1"/>
        <v>46139</v>
      </c>
      <c r="BI6" s="32">
        <f t="shared" si="1"/>
        <v>46140</v>
      </c>
      <c r="BJ6" s="32">
        <f t="shared" si="1"/>
        <v>46141</v>
      </c>
      <c r="BK6" s="32">
        <f t="shared" si="1"/>
        <v>46142</v>
      </c>
      <c r="BL6" s="32">
        <f t="shared" si="1"/>
        <v>46143</v>
      </c>
      <c r="BM6" s="32">
        <f t="shared" si="1"/>
        <v>46144</v>
      </c>
      <c r="BN6" s="34">
        <f t="shared" si="1"/>
        <v>46145</v>
      </c>
    </row>
    <row r="7" spans="1:66" s="1" customFormat="1" ht="24.6" thickBot="1" x14ac:dyDescent="0.3">
      <c r="A7" s="42" t="s">
        <v>9</v>
      </c>
      <c r="B7" s="42" t="s">
        <v>10</v>
      </c>
      <c r="C7" s="43" t="s">
        <v>144</v>
      </c>
      <c r="D7" s="44" t="s">
        <v>11</v>
      </c>
      <c r="E7" s="45" t="s">
        <v>12</v>
      </c>
      <c r="F7" s="45" t="s">
        <v>143</v>
      </c>
      <c r="G7" s="43" t="s">
        <v>147</v>
      </c>
      <c r="H7" s="43" t="s">
        <v>146</v>
      </c>
      <c r="I7" s="43" t="s">
        <v>145</v>
      </c>
      <c r="J7" s="43"/>
      <c r="K7" s="46" t="s">
        <v>13</v>
      </c>
      <c r="L7" s="47" t="s">
        <v>14</v>
      </c>
      <c r="M7" s="47" t="s">
        <v>15</v>
      </c>
      <c r="N7" s="47" t="s">
        <v>16</v>
      </c>
      <c r="O7" s="47" t="s">
        <v>13</v>
      </c>
      <c r="P7" s="47" t="s">
        <v>17</v>
      </c>
      <c r="Q7" s="48" t="s">
        <v>18</v>
      </c>
      <c r="R7" s="46" t="s">
        <v>13</v>
      </c>
      <c r="S7" s="47" t="s">
        <v>14</v>
      </c>
      <c r="T7" s="47" t="s">
        <v>15</v>
      </c>
      <c r="U7" s="47" t="s">
        <v>16</v>
      </c>
      <c r="V7" s="47" t="s">
        <v>13</v>
      </c>
      <c r="W7" s="47" t="s">
        <v>17</v>
      </c>
      <c r="X7" s="48" t="s">
        <v>18</v>
      </c>
      <c r="Y7" s="46" t="s">
        <v>13</v>
      </c>
      <c r="Z7" s="47" t="s">
        <v>14</v>
      </c>
      <c r="AA7" s="47" t="s">
        <v>15</v>
      </c>
      <c r="AB7" s="47" t="s">
        <v>16</v>
      </c>
      <c r="AC7" s="47" t="s">
        <v>13</v>
      </c>
      <c r="AD7" s="47" t="s">
        <v>17</v>
      </c>
      <c r="AE7" s="48" t="s">
        <v>18</v>
      </c>
      <c r="AF7" s="46" t="s">
        <v>13</v>
      </c>
      <c r="AG7" s="47" t="s">
        <v>14</v>
      </c>
      <c r="AH7" s="47" t="s">
        <v>15</v>
      </c>
      <c r="AI7" s="47" t="s">
        <v>16</v>
      </c>
      <c r="AJ7" s="47" t="s">
        <v>13</v>
      </c>
      <c r="AK7" s="47" t="s">
        <v>17</v>
      </c>
      <c r="AL7" s="48" t="s">
        <v>18</v>
      </c>
      <c r="AM7" s="46" t="s">
        <v>13</v>
      </c>
      <c r="AN7" s="47" t="s">
        <v>14</v>
      </c>
      <c r="AO7" s="47" t="s">
        <v>15</v>
      </c>
      <c r="AP7" s="47" t="s">
        <v>16</v>
      </c>
      <c r="AQ7" s="47" t="s">
        <v>13</v>
      </c>
      <c r="AR7" s="47" t="s">
        <v>17</v>
      </c>
      <c r="AS7" s="48" t="s">
        <v>18</v>
      </c>
      <c r="AT7" s="46" t="s">
        <v>13</v>
      </c>
      <c r="AU7" s="47" t="s">
        <v>14</v>
      </c>
      <c r="AV7" s="47" t="s">
        <v>15</v>
      </c>
      <c r="AW7" s="47" t="s">
        <v>16</v>
      </c>
      <c r="AX7" s="47" t="s">
        <v>13</v>
      </c>
      <c r="AY7" s="47" t="s">
        <v>17</v>
      </c>
      <c r="AZ7" s="48" t="s">
        <v>18</v>
      </c>
      <c r="BA7" s="46" t="s">
        <v>13</v>
      </c>
      <c r="BB7" s="47" t="s">
        <v>14</v>
      </c>
      <c r="BC7" s="47" t="s">
        <v>15</v>
      </c>
      <c r="BD7" s="47" t="s">
        <v>16</v>
      </c>
      <c r="BE7" s="47" t="s">
        <v>13</v>
      </c>
      <c r="BF7" s="47" t="s">
        <v>17</v>
      </c>
      <c r="BG7" s="48" t="s">
        <v>18</v>
      </c>
      <c r="BH7" s="46" t="s">
        <v>13</v>
      </c>
      <c r="BI7" s="47" t="s">
        <v>14</v>
      </c>
      <c r="BJ7" s="47" t="s">
        <v>15</v>
      </c>
      <c r="BK7" s="47" t="s">
        <v>16</v>
      </c>
      <c r="BL7" s="47" t="s">
        <v>13</v>
      </c>
      <c r="BM7" s="47" t="s">
        <v>17</v>
      </c>
      <c r="BN7" s="48" t="s">
        <v>18</v>
      </c>
    </row>
    <row r="8" spans="1:66" s="27" customFormat="1" ht="17.399999999999999" x14ac:dyDescent="0.25">
      <c r="A8" s="82" t="str">
        <f>IF(ISERROR(VALUE(SUBSTITUTE(prevWBS,".",""))),"1",IF(ISERROR(FIND("`",SUBSTITUTE(prevWBS,".","`",1))),TEXT(VALUE(prevWBS)+1,"#"),TEXT(VALUE(LEFT(prevWBS,FIND("`",SUBSTITUTE(prevWBS,".","`",1))-1))+1,"#")))</f>
        <v>1</v>
      </c>
      <c r="B8" s="126" t="s">
        <v>149</v>
      </c>
      <c r="C8" s="126"/>
      <c r="D8" s="126"/>
      <c r="E8" s="126"/>
      <c r="F8" s="85"/>
      <c r="G8" s="86"/>
      <c r="H8" s="87"/>
      <c r="I8" s="120"/>
      <c r="J8" s="35"/>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row>
    <row r="9" spans="1:66" s="29" customFormat="1" ht="17.399999999999999" x14ac:dyDescent="0.25">
      <c r="A9" s="88" t="str">
        <f t="shared" ref="A9:A14" si="2">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89" t="s">
        <v>150</v>
      </c>
      <c r="C9" s="81" t="s">
        <v>151</v>
      </c>
      <c r="D9" s="90"/>
      <c r="E9" s="91">
        <v>46082</v>
      </c>
      <c r="F9" s="96">
        <f t="shared" ref="F8:F64" si="3">IF(ISBLANK(E9)," - ",IF(G9=0,E9,E9+G9-1))</f>
        <v>46091</v>
      </c>
      <c r="G9" s="92">
        <v>10</v>
      </c>
      <c r="H9" s="93">
        <v>0</v>
      </c>
      <c r="I9" s="94">
        <f t="shared" ref="I9:I64" si="4">IF(OR(F9=0,E9=0)," - ",NETWORKDAYS(E9,F9))</f>
        <v>7</v>
      </c>
      <c r="J9" s="36"/>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row>
    <row r="10" spans="1:66" s="29" customFormat="1" ht="17.399999999999999" x14ac:dyDescent="0.25">
      <c r="A10" s="88" t="str">
        <f t="shared" si="2"/>
        <v>1.2</v>
      </c>
      <c r="B10" s="89"/>
      <c r="C10" s="81" t="s">
        <v>152</v>
      </c>
      <c r="D10" s="90"/>
      <c r="E10" s="91">
        <v>46082</v>
      </c>
      <c r="F10" s="96">
        <f t="shared" si="3"/>
        <v>46088</v>
      </c>
      <c r="G10" s="92">
        <v>7</v>
      </c>
      <c r="H10" s="93">
        <v>0</v>
      </c>
      <c r="I10" s="94">
        <f t="shared" si="4"/>
        <v>5</v>
      </c>
      <c r="J10" s="95"/>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row>
    <row r="11" spans="1:66" s="29" customFormat="1" ht="17.399999999999999" x14ac:dyDescent="0.25">
      <c r="A11" s="88" t="str">
        <f t="shared" si="2"/>
        <v>1.3</v>
      </c>
      <c r="B11" s="89"/>
      <c r="C11" s="81" t="s">
        <v>153</v>
      </c>
      <c r="D11" s="90"/>
      <c r="E11" s="91">
        <v>46082</v>
      </c>
      <c r="F11" s="96">
        <f t="shared" ref="F11" si="5">IF(ISBLANK(E11)," - ",IF(G11=0,E11,E11+G11-1))</f>
        <v>46083</v>
      </c>
      <c r="G11" s="92">
        <v>2</v>
      </c>
      <c r="H11" s="93">
        <v>0</v>
      </c>
      <c r="I11" s="94">
        <f t="shared" ref="I11" si="6">IF(OR(F11=0,E11=0)," - ",NETWORKDAYS(E11,F11))</f>
        <v>1</v>
      </c>
      <c r="J11" s="95"/>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row>
    <row r="12" spans="1:66" s="29" customFormat="1" ht="17.399999999999999" x14ac:dyDescent="0.25">
      <c r="A12" s="88" t="str">
        <f t="shared" si="2"/>
        <v>1.4</v>
      </c>
      <c r="B12" s="89"/>
      <c r="C12" s="81" t="s">
        <v>154</v>
      </c>
      <c r="D12" s="90"/>
      <c r="E12" s="91">
        <v>46082</v>
      </c>
      <c r="F12" s="96">
        <f t="shared" ref="F12:F13" si="7">IF(ISBLANK(E12)," - ",IF(G12=0,E12,E12+G12-1))</f>
        <v>46088</v>
      </c>
      <c r="G12" s="92">
        <v>7</v>
      </c>
      <c r="H12" s="93">
        <v>0</v>
      </c>
      <c r="I12" s="94">
        <f t="shared" ref="I12:I13" si="8">IF(OR(F12=0,E12=0)," - ",NETWORKDAYS(E12,F12))</f>
        <v>5</v>
      </c>
      <c r="J12" s="95"/>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row>
    <row r="13" spans="1:66" s="29" customFormat="1" ht="17.399999999999999" x14ac:dyDescent="0.25">
      <c r="A13" s="88" t="str">
        <f t="shared" si="2"/>
        <v>1.5</v>
      </c>
      <c r="B13" s="89"/>
      <c r="C13" s="81" t="s">
        <v>155</v>
      </c>
      <c r="D13" s="90"/>
      <c r="E13" s="91">
        <v>46082</v>
      </c>
      <c r="F13" s="96">
        <f t="shared" si="7"/>
        <v>46091</v>
      </c>
      <c r="G13" s="92">
        <v>10</v>
      </c>
      <c r="H13" s="93">
        <v>0</v>
      </c>
      <c r="I13" s="94">
        <f t="shared" si="8"/>
        <v>7</v>
      </c>
      <c r="J13" s="95"/>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row>
    <row r="14" spans="1:66" s="29" customFormat="1" ht="17.399999999999999" x14ac:dyDescent="0.25">
      <c r="A14" s="88" t="str">
        <f t="shared" si="2"/>
        <v>1.6</v>
      </c>
      <c r="C14" s="81" t="s">
        <v>156</v>
      </c>
      <c r="D14" s="90"/>
      <c r="E14" s="91">
        <v>46082</v>
      </c>
      <c r="F14" s="96">
        <f t="shared" si="3"/>
        <v>46088</v>
      </c>
      <c r="G14" s="92">
        <v>7</v>
      </c>
      <c r="H14" s="93">
        <v>0</v>
      </c>
      <c r="I14" s="94">
        <f t="shared" si="4"/>
        <v>5</v>
      </c>
      <c r="J14" s="95"/>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row>
    <row r="15" spans="1:66" s="27" customFormat="1" ht="33" customHeight="1" x14ac:dyDescent="0.25">
      <c r="A15" s="82" t="str">
        <f>IF(ISERROR(VALUE(SUBSTITUTE(prevWBS,".",""))),"1",IF(ISERROR(FIND("`",SUBSTITUTE(prevWBS,".","`",1))),TEXT(VALUE(prevWBS)+1,"#"),TEXT(VALUE(LEFT(prevWBS,FIND("`",SUBSTITUTE(prevWBS,".","`",1))-1))+1,"#")))</f>
        <v>2</v>
      </c>
      <c r="B15" s="125"/>
      <c r="C15" s="125"/>
      <c r="D15" s="125"/>
      <c r="E15" s="125"/>
      <c r="F15" s="85" t="str">
        <f t="shared" si="3"/>
        <v xml:space="preserve"> - </v>
      </c>
      <c r="G15" s="86"/>
      <c r="H15" s="87"/>
      <c r="I15" s="94" t="str">
        <f t="shared" si="4"/>
        <v xml:space="preserve"> - </v>
      </c>
      <c r="J15" s="37"/>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c r="BM15" s="41"/>
      <c r="BN15" s="41"/>
    </row>
    <row r="16" spans="1:66" s="29" customFormat="1" ht="17.399999999999999" x14ac:dyDescent="0.25">
      <c r="A16" s="88" t="str">
        <f t="shared" ref="A16:A33" si="9">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6" s="89"/>
      <c r="C16" s="81" t="s">
        <v>157</v>
      </c>
      <c r="D16" s="90"/>
      <c r="E16" s="91">
        <v>46082</v>
      </c>
      <c r="F16" s="96">
        <f t="shared" si="3"/>
        <v>46088</v>
      </c>
      <c r="G16" s="92">
        <v>7</v>
      </c>
      <c r="H16" s="93">
        <v>0</v>
      </c>
      <c r="I16" s="94">
        <f t="shared" si="4"/>
        <v>5</v>
      </c>
      <c r="J16" s="36"/>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row>
    <row r="17" spans="1:66" s="29" customFormat="1" ht="17.399999999999999" x14ac:dyDescent="0.25">
      <c r="A17" s="88" t="str">
        <f t="shared" si="9"/>
        <v>2.2</v>
      </c>
      <c r="B17" s="89"/>
      <c r="C17" s="81" t="s">
        <v>158</v>
      </c>
      <c r="D17" s="90"/>
      <c r="E17" s="91">
        <v>46082</v>
      </c>
      <c r="F17" s="96">
        <f t="shared" si="3"/>
        <v>46088</v>
      </c>
      <c r="G17" s="92">
        <v>7</v>
      </c>
      <c r="H17" s="93">
        <v>0</v>
      </c>
      <c r="I17" s="94">
        <f t="shared" si="4"/>
        <v>5</v>
      </c>
      <c r="J17" s="36"/>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row>
    <row r="18" spans="1:66" s="29" customFormat="1" ht="17.399999999999999" x14ac:dyDescent="0.25">
      <c r="A18" s="88" t="str">
        <f t="shared" si="9"/>
        <v>2.3</v>
      </c>
      <c r="B18" s="89"/>
      <c r="C18" s="81" t="s">
        <v>159</v>
      </c>
      <c r="D18" s="90"/>
      <c r="E18" s="91">
        <v>46082</v>
      </c>
      <c r="F18" s="96">
        <f t="shared" ref="F18" si="10">IF(ISBLANK(E18)," - ",IF(G18=0,E18,E18+G18-1))</f>
        <v>46091</v>
      </c>
      <c r="G18" s="92">
        <v>10</v>
      </c>
      <c r="H18" s="93">
        <v>0</v>
      </c>
      <c r="I18" s="94">
        <f t="shared" ref="I18" si="11">IF(OR(F18=0,E18=0)," - ",NETWORKDAYS(E18,F18))</f>
        <v>7</v>
      </c>
      <c r="J18" s="36"/>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row>
    <row r="19" spans="1:66" s="29" customFormat="1" ht="17.399999999999999" x14ac:dyDescent="0.25">
      <c r="A19" s="88" t="str">
        <f t="shared" si="9"/>
        <v>2.4</v>
      </c>
      <c r="B19" s="89"/>
      <c r="C19" s="81" t="s">
        <v>19</v>
      </c>
      <c r="D19" s="90"/>
      <c r="E19" s="91">
        <v>46082</v>
      </c>
      <c r="F19" s="96">
        <f t="shared" si="3"/>
        <v>46088</v>
      </c>
      <c r="G19" s="92">
        <v>7</v>
      </c>
      <c r="H19" s="93">
        <v>0</v>
      </c>
      <c r="I19" s="94">
        <f t="shared" si="4"/>
        <v>5</v>
      </c>
      <c r="J19" s="36"/>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row>
    <row r="20" spans="1:66" s="29" customFormat="1" ht="17.399999999999999" x14ac:dyDescent="0.25">
      <c r="A20" s="88" t="str">
        <f t="shared" si="9"/>
        <v>2.5</v>
      </c>
      <c r="B20" s="89"/>
      <c r="C20" s="81"/>
      <c r="D20" s="90"/>
      <c r="E20" s="91">
        <v>46082</v>
      </c>
      <c r="F20" s="96">
        <f t="shared" ref="F20" si="12">IF(ISBLANK(E20)," - ",IF(G20=0,E20,E20+G20-1))</f>
        <v>46088</v>
      </c>
      <c r="G20" s="92">
        <v>7</v>
      </c>
      <c r="H20" s="93">
        <v>0</v>
      </c>
      <c r="I20" s="94">
        <f t="shared" ref="I20" si="13">IF(OR(F20=0,E20=0)," - ",NETWORKDAYS(E20,F20))</f>
        <v>5</v>
      </c>
      <c r="J20" s="36"/>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row>
    <row r="21" spans="1:66" s="27" customFormat="1" ht="17.399999999999999" x14ac:dyDescent="0.25">
      <c r="A21" s="82" t="str">
        <f>IF(ISERROR(VALUE(SUBSTITUTE(prevWBS,".",""))),"1",IF(ISERROR(FIND("`",SUBSTITUTE(prevWBS,".","`",1))),TEXT(VALUE(prevWBS)+1,"#"),TEXT(VALUE(LEFT(prevWBS,FIND("`",SUBSTITUTE(prevWBS,".","`",1))-1))+1,"#")))</f>
        <v>3</v>
      </c>
      <c r="B21" s="83"/>
      <c r="C21" s="80"/>
      <c r="D21" s="84"/>
      <c r="E21" s="85"/>
      <c r="F21" s="85" t="str">
        <f t="shared" ref="F21" si="14">IF(ISBLANK(E21)," - ",IF(G21=0,E21,E21+G21-1))</f>
        <v xml:space="preserve"> - </v>
      </c>
      <c r="G21" s="86"/>
      <c r="H21" s="87"/>
      <c r="I21" s="117" t="str">
        <f t="shared" ref="I21" si="15">IF(OR(F21=0,E21=0)," - ",NETWORKDAYS(E21,F21))</f>
        <v xml:space="preserve"> - </v>
      </c>
      <c r="J21" s="37"/>
      <c r="K21" s="41"/>
      <c r="L21" s="41"/>
      <c r="M21" s="41"/>
      <c r="N21" s="41"/>
      <c r="O21" s="41"/>
      <c r="P21" s="41"/>
      <c r="Q21" s="41"/>
      <c r="R21" s="41"/>
      <c r="S21" s="41"/>
      <c r="T21" s="41"/>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1"/>
      <c r="BJ21" s="41"/>
      <c r="BK21" s="41"/>
      <c r="BL21" s="41"/>
      <c r="BM21" s="41"/>
      <c r="BN21" s="41"/>
    </row>
    <row r="22" spans="1:66" s="29" customFormat="1" ht="17.399999999999999" x14ac:dyDescent="0.25">
      <c r="A22" s="88" t="str">
        <f t="shared" si="9"/>
        <v>3.1</v>
      </c>
      <c r="B22" s="89"/>
      <c r="C22" s="81"/>
      <c r="D22" s="90"/>
      <c r="E22" s="91">
        <v>46082</v>
      </c>
      <c r="F22" s="96">
        <f t="shared" si="3"/>
        <v>46091</v>
      </c>
      <c r="G22" s="92">
        <v>10</v>
      </c>
      <c r="H22" s="93">
        <v>0</v>
      </c>
      <c r="I22" s="94">
        <f t="shared" si="4"/>
        <v>7</v>
      </c>
      <c r="J22" s="36"/>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row>
    <row r="23" spans="1:66" s="29" customFormat="1" ht="17.399999999999999" x14ac:dyDescent="0.25">
      <c r="A23" s="88" t="str">
        <f t="shared" si="9"/>
        <v>3.2</v>
      </c>
      <c r="B23" s="89"/>
      <c r="C23" s="81"/>
      <c r="D23" s="90"/>
      <c r="E23" s="91">
        <v>46082</v>
      </c>
      <c r="F23" s="96">
        <f>IF(ISBLANK(E23)," - ",IF(G23=0,E23,E23+G23-1))</f>
        <v>46102</v>
      </c>
      <c r="G23" s="92">
        <v>21</v>
      </c>
      <c r="H23" s="93">
        <v>0</v>
      </c>
      <c r="I23" s="94">
        <f>IF(OR(F23=0,E23=0)," - ",NETWORKDAYS(E23,F23))</f>
        <v>15</v>
      </c>
      <c r="J23" s="36"/>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row>
    <row r="24" spans="1:66" s="29" customFormat="1" ht="17.399999999999999" x14ac:dyDescent="0.25">
      <c r="A24" s="88" t="str">
        <f t="shared" si="9"/>
        <v>3.3</v>
      </c>
      <c r="B24" s="89"/>
      <c r="C24" s="81"/>
      <c r="D24" s="90"/>
      <c r="E24" s="91">
        <v>46082</v>
      </c>
      <c r="F24" s="96">
        <f>IF(ISBLANK(E24)," - ",IF(G24=0,E24,E24+G24-1))</f>
        <v>46111</v>
      </c>
      <c r="G24" s="92">
        <v>30</v>
      </c>
      <c r="H24" s="93">
        <v>0</v>
      </c>
      <c r="I24" s="94">
        <f>IF(OR(F24=0,E24=0)," - ",NETWORKDAYS(E24,F24))</f>
        <v>21</v>
      </c>
      <c r="J24" s="36"/>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row>
    <row r="25" spans="1:66" s="29" customFormat="1" ht="17.399999999999999" x14ac:dyDescent="0.25">
      <c r="A25" s="88" t="str">
        <f t="shared" si="9"/>
        <v>3.4</v>
      </c>
      <c r="B25" s="89"/>
      <c r="C25" s="81"/>
      <c r="D25" s="90"/>
      <c r="E25" s="91">
        <v>46082</v>
      </c>
      <c r="F25" s="96">
        <f t="shared" ref="F25" si="16">IF(ISBLANK(E25)," - ",IF(G25=0,E25,E25+G25-1))</f>
        <v>46095</v>
      </c>
      <c r="G25" s="92">
        <v>14</v>
      </c>
      <c r="H25" s="93">
        <v>0</v>
      </c>
      <c r="I25" s="94">
        <f t="shared" ref="I25" si="17">IF(OR(F25=0,E25=0)," - ",NETWORKDAYS(E25,F25))</f>
        <v>10</v>
      </c>
      <c r="J25" s="36"/>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row>
    <row r="26" spans="1:66" s="29" customFormat="1" ht="17.399999999999999" hidden="1" x14ac:dyDescent="0.25">
      <c r="A26" s="88" t="str">
        <f t="shared" si="9"/>
        <v>3.5</v>
      </c>
      <c r="B26" s="89" t="s">
        <v>20</v>
      </c>
      <c r="C26" s="81" t="s">
        <v>19</v>
      </c>
      <c r="D26" s="90"/>
      <c r="E26" s="91">
        <v>45907</v>
      </c>
      <c r="F26" s="96">
        <f t="shared" si="3"/>
        <v>45915</v>
      </c>
      <c r="G26" s="92">
        <v>9</v>
      </c>
      <c r="H26" s="93">
        <v>1</v>
      </c>
      <c r="I26" s="94">
        <f t="shared" si="4"/>
        <v>6</v>
      </c>
      <c r="J26" s="36"/>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row>
    <row r="27" spans="1:66" s="29" customFormat="1" ht="17.399999999999999" hidden="1" x14ac:dyDescent="0.25">
      <c r="A27" s="88" t="str">
        <f t="shared" si="9"/>
        <v>3.6</v>
      </c>
      <c r="B27" s="89" t="s">
        <v>20</v>
      </c>
      <c r="C27" s="81" t="s">
        <v>19</v>
      </c>
      <c r="D27" s="90"/>
      <c r="E27" s="91">
        <v>45908</v>
      </c>
      <c r="F27" s="96">
        <f t="shared" si="3"/>
        <v>45917</v>
      </c>
      <c r="G27" s="92">
        <v>10</v>
      </c>
      <c r="H27" s="93">
        <v>2</v>
      </c>
      <c r="I27" s="94">
        <f t="shared" si="4"/>
        <v>8</v>
      </c>
      <c r="J27" s="36"/>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row>
    <row r="28" spans="1:66" s="29" customFormat="1" ht="17.399999999999999" hidden="1" x14ac:dyDescent="0.25">
      <c r="A28" s="88" t="str">
        <f t="shared" si="9"/>
        <v>3.7</v>
      </c>
      <c r="B28" s="89" t="s">
        <v>20</v>
      </c>
      <c r="C28" s="81" t="s">
        <v>19</v>
      </c>
      <c r="D28" s="90"/>
      <c r="E28" s="91">
        <v>45909</v>
      </c>
      <c r="F28" s="96">
        <f t="shared" si="3"/>
        <v>45919</v>
      </c>
      <c r="G28" s="92">
        <v>11</v>
      </c>
      <c r="H28" s="93">
        <v>3</v>
      </c>
      <c r="I28" s="94">
        <f t="shared" si="4"/>
        <v>9</v>
      </c>
      <c r="J28" s="36"/>
      <c r="K28" s="28"/>
      <c r="L28" s="28"/>
      <c r="M28" s="40"/>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c r="BM28" s="28"/>
      <c r="BN28" s="28"/>
    </row>
    <row r="29" spans="1:66" s="27" customFormat="1" ht="17.399999999999999" x14ac:dyDescent="0.25">
      <c r="A29" s="82" t="str">
        <f>IF(ISERROR(VALUE(SUBSTITUTE(prevWBS,".",""))),"1",IF(ISERROR(FIND("`",SUBSTITUTE(prevWBS,".","`",1))),TEXT(VALUE(prevWBS)+1,"#"),TEXT(VALUE(LEFT(prevWBS,FIND("`",SUBSTITUTE(prevWBS,".","`",1))-1))+1,"#")))</f>
        <v>4</v>
      </c>
      <c r="B29" s="83"/>
      <c r="C29" s="80"/>
      <c r="D29" s="84"/>
      <c r="E29" s="123"/>
      <c r="F29" s="85" t="str">
        <f t="shared" si="3"/>
        <v xml:space="preserve"> - </v>
      </c>
      <c r="G29" s="86"/>
      <c r="H29" s="87"/>
      <c r="I29" s="117" t="str">
        <f t="shared" si="4"/>
        <v xml:space="preserve"> - </v>
      </c>
      <c r="J29" s="37"/>
      <c r="K29" s="41"/>
      <c r="L29" s="41"/>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1"/>
      <c r="BJ29" s="41"/>
      <c r="BK29" s="41"/>
      <c r="BL29" s="41"/>
      <c r="BM29" s="41"/>
      <c r="BN29" s="41"/>
    </row>
    <row r="30" spans="1:66" s="116" customFormat="1" ht="17.399999999999999" x14ac:dyDescent="0.25">
      <c r="A30" s="88" t="str">
        <f t="shared" ref="A30:A50" si="18">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30" s="89"/>
      <c r="C30" s="81"/>
      <c r="D30" s="100"/>
      <c r="E30" s="91">
        <v>46082</v>
      </c>
      <c r="F30" s="96">
        <f t="shared" si="3"/>
        <v>46111</v>
      </c>
      <c r="G30" s="92">
        <v>30</v>
      </c>
      <c r="H30" s="113">
        <v>0</v>
      </c>
      <c r="I30" s="94">
        <f t="shared" si="4"/>
        <v>21</v>
      </c>
      <c r="J30" s="114"/>
      <c r="K30" s="115"/>
      <c r="L30" s="115"/>
      <c r="M30" s="115"/>
      <c r="N30" s="115"/>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c r="AN30" s="115"/>
      <c r="AO30" s="115"/>
      <c r="AP30" s="115"/>
      <c r="AQ30" s="115"/>
      <c r="AR30" s="115"/>
      <c r="AS30" s="115"/>
      <c r="AT30" s="115"/>
      <c r="AU30" s="115"/>
      <c r="AV30" s="115"/>
      <c r="AW30" s="115"/>
      <c r="AX30" s="115"/>
      <c r="AY30" s="115"/>
      <c r="AZ30" s="115"/>
      <c r="BA30" s="115"/>
      <c r="BB30" s="115"/>
      <c r="BC30" s="115"/>
      <c r="BD30" s="115"/>
      <c r="BE30" s="115"/>
      <c r="BF30" s="115"/>
      <c r="BG30" s="115"/>
      <c r="BH30" s="115"/>
      <c r="BI30" s="115"/>
      <c r="BJ30" s="115"/>
      <c r="BK30" s="115"/>
      <c r="BL30" s="115"/>
      <c r="BM30" s="115"/>
      <c r="BN30" s="115"/>
    </row>
    <row r="31" spans="1:66" s="29" customFormat="1" ht="17.399999999999999" x14ac:dyDescent="0.25">
      <c r="A31" s="88" t="str">
        <f t="shared" si="9"/>
        <v>4.2</v>
      </c>
      <c r="B31" s="89"/>
      <c r="C31" s="81"/>
      <c r="D31" s="90"/>
      <c r="E31" s="91">
        <v>46082</v>
      </c>
      <c r="F31" s="96">
        <f t="shared" ref="F31:F32" si="19">IF(ISBLANK(E31)," - ",IF(G31=0,E31,E31+G31-1))</f>
        <v>46111</v>
      </c>
      <c r="G31" s="92">
        <v>30</v>
      </c>
      <c r="H31" s="93">
        <v>0</v>
      </c>
      <c r="I31" s="94">
        <f t="shared" ref="I31:I32" si="20">IF(OR(F31=0,E31=0)," - ",NETWORKDAYS(E31,F31))</f>
        <v>21</v>
      </c>
      <c r="J31" s="36"/>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row>
    <row r="32" spans="1:66" s="29" customFormat="1" ht="17.399999999999999" x14ac:dyDescent="0.25">
      <c r="A32" s="88" t="str">
        <f t="shared" si="9"/>
        <v>4.3</v>
      </c>
      <c r="B32" s="89"/>
      <c r="C32" s="81"/>
      <c r="D32" s="90"/>
      <c r="E32" s="91">
        <v>46082</v>
      </c>
      <c r="F32" s="96">
        <f t="shared" si="19"/>
        <v>46102</v>
      </c>
      <c r="G32" s="92">
        <v>21</v>
      </c>
      <c r="H32" s="93">
        <v>0</v>
      </c>
      <c r="I32" s="94">
        <f t="shared" si="20"/>
        <v>15</v>
      </c>
      <c r="J32" s="36"/>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row>
    <row r="33" spans="1:66" s="29" customFormat="1" ht="25.8" customHeight="1" x14ac:dyDescent="0.25">
      <c r="A33" s="88" t="str">
        <f t="shared" si="9"/>
        <v>4.4</v>
      </c>
      <c r="B33" s="89"/>
      <c r="C33" s="81"/>
      <c r="D33" s="90"/>
      <c r="E33" s="91">
        <v>46082</v>
      </c>
      <c r="F33" s="96">
        <f>IF(ISBLANK(E33)," - ",IF(G33=0,E33,E33+G33-1))</f>
        <v>46141</v>
      </c>
      <c r="G33" s="92">
        <v>60</v>
      </c>
      <c r="H33" s="93">
        <v>0</v>
      </c>
      <c r="I33" s="94">
        <f>IF(OR(F33=0,E33=0)," - ",NETWORKDAYS(E33,F33))</f>
        <v>43</v>
      </c>
      <c r="J33" s="36"/>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row>
    <row r="34" spans="1:66" s="29" customFormat="1" ht="17.399999999999999" hidden="1" x14ac:dyDescent="0.25">
      <c r="A34" s="88" t="str">
        <f t="shared" si="18"/>
        <v>4.5</v>
      </c>
      <c r="B34" s="106" t="s">
        <v>20</v>
      </c>
      <c r="C34" s="107"/>
      <c r="D34" s="108"/>
      <c r="E34" s="91">
        <v>45918</v>
      </c>
      <c r="F34" s="109">
        <f t="shared" si="3"/>
        <v>45922</v>
      </c>
      <c r="G34" s="110">
        <v>5</v>
      </c>
      <c r="H34" s="111">
        <v>0</v>
      </c>
      <c r="I34" s="112">
        <f t="shared" si="4"/>
        <v>3</v>
      </c>
      <c r="J34" s="36"/>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c r="BM34" s="28"/>
      <c r="BN34" s="28"/>
    </row>
    <row r="35" spans="1:66" s="29" customFormat="1" ht="17.399999999999999" hidden="1" x14ac:dyDescent="0.25">
      <c r="A35" s="88" t="str">
        <f t="shared" si="18"/>
        <v>4.6</v>
      </c>
      <c r="B35" s="89" t="s">
        <v>20</v>
      </c>
      <c r="C35" s="81"/>
      <c r="D35" s="90"/>
      <c r="E35" s="91">
        <v>45919</v>
      </c>
      <c r="F35" s="96">
        <f t="shared" si="3"/>
        <v>45923</v>
      </c>
      <c r="G35" s="92">
        <v>5</v>
      </c>
      <c r="H35" s="93">
        <v>0</v>
      </c>
      <c r="I35" s="94">
        <f t="shared" si="4"/>
        <v>3</v>
      </c>
      <c r="J35" s="36"/>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c r="BM35" s="28"/>
      <c r="BN35" s="28"/>
    </row>
    <row r="36" spans="1:66" s="29" customFormat="1" ht="17.399999999999999" hidden="1" x14ac:dyDescent="0.25">
      <c r="A36" s="88" t="str">
        <f t="shared" si="18"/>
        <v>4.7</v>
      </c>
      <c r="B36" s="89" t="s">
        <v>20</v>
      </c>
      <c r="C36" s="81"/>
      <c r="D36" s="90"/>
      <c r="E36" s="91">
        <v>45920</v>
      </c>
      <c r="F36" s="96">
        <f t="shared" si="3"/>
        <v>45924</v>
      </c>
      <c r="G36" s="92">
        <v>5</v>
      </c>
      <c r="H36" s="93">
        <v>0</v>
      </c>
      <c r="I36" s="94">
        <f t="shared" si="4"/>
        <v>3</v>
      </c>
      <c r="J36" s="36"/>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row>
    <row r="37" spans="1:66" s="27" customFormat="1" ht="17.399999999999999" x14ac:dyDescent="0.25">
      <c r="A37" s="82" t="str">
        <f>IF(ISERROR(VALUE(SUBSTITUTE(prevWBS,".",""))),"1",IF(ISERROR(FIND("`",SUBSTITUTE(prevWBS,".","`",1))),TEXT(VALUE(prevWBS)+1,"#"),TEXT(VALUE(LEFT(prevWBS,FIND("`",SUBSTITUTE(prevWBS,".","`",1))-1))+1,"#")))</f>
        <v>5</v>
      </c>
      <c r="B37" s="83"/>
      <c r="C37" s="80"/>
      <c r="D37" s="84"/>
      <c r="E37" s="123"/>
      <c r="F37" s="85"/>
      <c r="G37" s="86"/>
      <c r="H37" s="87"/>
      <c r="I37" s="94" t="str">
        <f t="shared" si="4"/>
        <v xml:space="preserve"> - </v>
      </c>
      <c r="J37" s="37"/>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1"/>
      <c r="BJ37" s="41"/>
      <c r="BK37" s="41"/>
      <c r="BL37" s="41"/>
      <c r="BM37" s="41"/>
      <c r="BN37" s="41"/>
    </row>
    <row r="38" spans="1:66" s="116" customFormat="1" ht="17.399999999999999" x14ac:dyDescent="0.25">
      <c r="A38" s="88" t="str">
        <f t="shared" ref="A38:A45" si="2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5.1</v>
      </c>
      <c r="B38" s="89"/>
      <c r="C38" s="81"/>
      <c r="D38" s="90"/>
      <c r="E38" s="91">
        <v>46082</v>
      </c>
      <c r="F38" s="96">
        <f t="shared" si="3"/>
        <v>46083</v>
      </c>
      <c r="G38" s="92">
        <v>2</v>
      </c>
      <c r="H38" s="113">
        <v>0</v>
      </c>
      <c r="I38" s="94">
        <f t="shared" si="4"/>
        <v>1</v>
      </c>
      <c r="J38" s="114"/>
      <c r="K38" s="115"/>
      <c r="L38" s="115"/>
      <c r="M38" s="115"/>
      <c r="N38" s="115"/>
      <c r="O38" s="115"/>
      <c r="P38" s="115"/>
      <c r="Q38" s="115"/>
      <c r="R38" s="115"/>
      <c r="S38" s="115"/>
      <c r="T38" s="115"/>
      <c r="U38" s="115"/>
      <c r="V38" s="115"/>
      <c r="W38" s="115"/>
      <c r="X38" s="115"/>
      <c r="Y38" s="115"/>
      <c r="Z38" s="115"/>
      <c r="AA38" s="115"/>
      <c r="AB38" s="115"/>
      <c r="AC38" s="115"/>
      <c r="AD38" s="115"/>
      <c r="AE38" s="115"/>
      <c r="AF38" s="115"/>
      <c r="AG38" s="115"/>
      <c r="AH38" s="115"/>
      <c r="AI38" s="115"/>
      <c r="AJ38" s="115"/>
      <c r="AK38" s="115"/>
      <c r="AL38" s="115"/>
      <c r="AM38" s="115"/>
      <c r="AN38" s="115"/>
      <c r="AO38" s="115"/>
      <c r="AP38" s="115"/>
      <c r="AQ38" s="115"/>
      <c r="AR38" s="115"/>
      <c r="AS38" s="115"/>
      <c r="AT38" s="115"/>
      <c r="AU38" s="115"/>
      <c r="AV38" s="115"/>
      <c r="AW38" s="115"/>
      <c r="AX38" s="115"/>
      <c r="AY38" s="115"/>
      <c r="AZ38" s="115"/>
      <c r="BA38" s="115"/>
      <c r="BB38" s="115"/>
      <c r="BC38" s="115"/>
      <c r="BD38" s="115"/>
      <c r="BE38" s="115"/>
      <c r="BF38" s="115"/>
      <c r="BG38" s="115"/>
      <c r="BH38" s="115"/>
      <c r="BI38" s="115"/>
      <c r="BJ38" s="115"/>
      <c r="BK38" s="115"/>
      <c r="BL38" s="115"/>
      <c r="BM38" s="115"/>
      <c r="BN38" s="115"/>
    </row>
    <row r="39" spans="1:66" s="116" customFormat="1" ht="17.399999999999999" x14ac:dyDescent="0.25">
      <c r="A39" s="88" t="str">
        <f t="shared" si="21"/>
        <v>5.2</v>
      </c>
      <c r="B39" s="89"/>
      <c r="C39" s="81"/>
      <c r="D39" s="90"/>
      <c r="E39" s="91">
        <v>46082</v>
      </c>
      <c r="F39" s="96">
        <f t="shared" si="3"/>
        <v>46088</v>
      </c>
      <c r="G39" s="92">
        <v>7</v>
      </c>
      <c r="H39" s="113">
        <v>0</v>
      </c>
      <c r="I39" s="94">
        <f t="shared" si="4"/>
        <v>5</v>
      </c>
      <c r="J39" s="114"/>
      <c r="K39" s="115"/>
      <c r="L39" s="115"/>
      <c r="M39" s="115"/>
      <c r="N39" s="115"/>
      <c r="O39" s="115"/>
      <c r="P39" s="115"/>
      <c r="Q39" s="115"/>
      <c r="R39" s="115"/>
      <c r="S39" s="115"/>
      <c r="T39" s="115"/>
      <c r="U39" s="115"/>
      <c r="V39" s="115"/>
      <c r="W39" s="115"/>
      <c r="X39" s="115"/>
      <c r="Y39" s="115"/>
      <c r="Z39" s="115"/>
      <c r="AA39" s="115"/>
      <c r="AB39" s="115"/>
      <c r="AC39" s="115"/>
      <c r="AD39" s="115"/>
      <c r="AE39" s="115"/>
      <c r="AF39" s="115"/>
      <c r="AG39" s="115"/>
      <c r="AH39" s="115"/>
      <c r="AI39" s="115"/>
      <c r="AJ39" s="115"/>
      <c r="AK39" s="115"/>
      <c r="AL39" s="115"/>
      <c r="AM39" s="115"/>
      <c r="AN39" s="115"/>
      <c r="AO39" s="115"/>
      <c r="AP39" s="115"/>
      <c r="AQ39" s="115"/>
      <c r="AR39" s="115"/>
      <c r="AS39" s="115"/>
      <c r="AT39" s="115"/>
      <c r="AU39" s="115"/>
      <c r="AV39" s="115"/>
      <c r="AW39" s="115"/>
      <c r="AX39" s="115"/>
      <c r="AY39" s="115"/>
      <c r="AZ39" s="115"/>
      <c r="BA39" s="115"/>
      <c r="BB39" s="115"/>
      <c r="BC39" s="115"/>
      <c r="BD39" s="115"/>
      <c r="BE39" s="115"/>
      <c r="BF39" s="115"/>
      <c r="BG39" s="115"/>
      <c r="BH39" s="115"/>
      <c r="BI39" s="115"/>
      <c r="BJ39" s="115"/>
      <c r="BK39" s="115"/>
      <c r="BL39" s="115"/>
      <c r="BM39" s="115"/>
      <c r="BN39" s="115"/>
    </row>
    <row r="40" spans="1:66" s="29" customFormat="1" ht="17.399999999999999" x14ac:dyDescent="0.25">
      <c r="A40" s="88" t="str">
        <f t="shared" si="21"/>
        <v>5.3</v>
      </c>
      <c r="B40" s="89"/>
      <c r="C40" s="81"/>
      <c r="D40" s="90"/>
      <c r="E40" s="91">
        <v>46082</v>
      </c>
      <c r="F40" s="96">
        <f>IF(ISBLANK(E40)," - ",IF(G40=0,E40,E40+G40-1))</f>
        <v>46095</v>
      </c>
      <c r="G40" s="92">
        <v>14</v>
      </c>
      <c r="H40" s="93">
        <v>0</v>
      </c>
      <c r="I40" s="94">
        <f>IF(OR(F40=0,E40=0)," - ",NETWORKDAYS(E40,F40))</f>
        <v>10</v>
      </c>
      <c r="J40" s="36"/>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c r="BJ40" s="28"/>
      <c r="BK40" s="28"/>
      <c r="BL40" s="28"/>
      <c r="BM40" s="28"/>
      <c r="BN40" s="28"/>
    </row>
    <row r="41" spans="1:66" s="29" customFormat="1" ht="17.399999999999999" x14ac:dyDescent="0.25">
      <c r="A41" s="88" t="str">
        <f t="shared" si="21"/>
        <v>5.4</v>
      </c>
      <c r="C41" s="81"/>
      <c r="D41" s="90"/>
      <c r="E41" s="91">
        <v>46082</v>
      </c>
      <c r="F41" s="96">
        <f t="shared" ref="F41:F43" si="22">IF(ISBLANK(E41)," - ",IF(G41=0,E41,E41+G41-1))</f>
        <v>46102</v>
      </c>
      <c r="G41" s="92">
        <v>21</v>
      </c>
      <c r="H41" s="93">
        <v>0</v>
      </c>
      <c r="I41" s="94">
        <f t="shared" ref="I41:I43" si="23">IF(OR(F41=0,E41=0)," - ",NETWORKDAYS(E41,F41))</f>
        <v>15</v>
      </c>
      <c r="J41" s="36"/>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28"/>
      <c r="BH41" s="28"/>
      <c r="BI41" s="28"/>
      <c r="BJ41" s="28"/>
      <c r="BK41" s="28"/>
      <c r="BL41" s="28"/>
      <c r="BM41" s="28"/>
      <c r="BN41" s="28"/>
    </row>
    <row r="42" spans="1:66" s="29" customFormat="1" ht="17.399999999999999" x14ac:dyDescent="0.25">
      <c r="A42" s="88" t="str">
        <f t="shared" si="21"/>
        <v>5.5</v>
      </c>
      <c r="B42" s="89"/>
      <c r="C42" s="81"/>
      <c r="D42" s="90"/>
      <c r="E42" s="91">
        <v>46082</v>
      </c>
      <c r="F42" s="96">
        <f t="shared" si="22"/>
        <v>46096</v>
      </c>
      <c r="G42" s="92">
        <v>15</v>
      </c>
      <c r="H42" s="93">
        <v>0</v>
      </c>
      <c r="I42" s="94">
        <f t="shared" si="23"/>
        <v>10</v>
      </c>
      <c r="J42" s="36"/>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c r="AL42" s="28"/>
      <c r="AM42" s="28"/>
      <c r="AN42" s="28"/>
      <c r="AO42" s="28"/>
      <c r="AP42" s="28"/>
      <c r="AQ42" s="28"/>
      <c r="AR42" s="28"/>
      <c r="AS42" s="28"/>
      <c r="AT42" s="28"/>
      <c r="AU42" s="28"/>
      <c r="AV42" s="28"/>
      <c r="AW42" s="28"/>
      <c r="AX42" s="28"/>
      <c r="AY42" s="28"/>
      <c r="AZ42" s="28"/>
      <c r="BA42" s="28"/>
      <c r="BB42" s="28"/>
      <c r="BC42" s="28"/>
      <c r="BD42" s="28"/>
      <c r="BE42" s="28"/>
      <c r="BF42" s="28"/>
      <c r="BG42" s="28"/>
      <c r="BH42" s="28"/>
      <c r="BI42" s="28"/>
      <c r="BJ42" s="28"/>
      <c r="BK42" s="28"/>
      <c r="BL42" s="28"/>
      <c r="BM42" s="28"/>
      <c r="BN42" s="28"/>
    </row>
    <row r="43" spans="1:66" s="29" customFormat="1" ht="17.399999999999999" x14ac:dyDescent="0.25">
      <c r="A43" s="88" t="str">
        <f t="shared" si="21"/>
        <v>5.6</v>
      </c>
      <c r="B43" s="89"/>
      <c r="C43" s="81"/>
      <c r="D43" s="90"/>
      <c r="E43" s="91">
        <v>46082</v>
      </c>
      <c r="F43" s="96">
        <f t="shared" si="22"/>
        <v>46095</v>
      </c>
      <c r="G43" s="92">
        <v>14</v>
      </c>
      <c r="H43" s="93">
        <v>0</v>
      </c>
      <c r="I43" s="94">
        <f t="shared" si="23"/>
        <v>10</v>
      </c>
      <c r="J43" s="36"/>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c r="AL43" s="28"/>
      <c r="AM43" s="28"/>
      <c r="AN43" s="28"/>
      <c r="AO43" s="28"/>
      <c r="AP43" s="28"/>
      <c r="AQ43" s="28"/>
      <c r="AR43" s="28"/>
      <c r="AS43" s="28"/>
      <c r="AT43" s="28"/>
      <c r="AU43" s="28"/>
      <c r="AV43" s="28"/>
      <c r="AW43" s="28"/>
      <c r="AX43" s="28"/>
      <c r="AY43" s="28"/>
      <c r="AZ43" s="28"/>
      <c r="BA43" s="28"/>
      <c r="BB43" s="28"/>
      <c r="BC43" s="28"/>
      <c r="BD43" s="28"/>
      <c r="BE43" s="28"/>
      <c r="BF43" s="28"/>
      <c r="BG43" s="28"/>
      <c r="BH43" s="28"/>
      <c r="BI43" s="28"/>
      <c r="BJ43" s="28"/>
      <c r="BK43" s="28"/>
      <c r="BL43" s="28"/>
      <c r="BM43" s="28"/>
      <c r="BN43" s="28"/>
    </row>
    <row r="44" spans="1:66" s="30" customFormat="1" ht="17.399999999999999" x14ac:dyDescent="0.25">
      <c r="A44" s="88" t="str">
        <f t="shared" si="21"/>
        <v>5.7</v>
      </c>
      <c r="B44" s="89"/>
      <c r="C44" s="81"/>
      <c r="D44" s="90"/>
      <c r="E44" s="91">
        <v>46082</v>
      </c>
      <c r="F44" s="96">
        <f t="shared" ref="F44" si="24">IF(ISBLANK(E44)," - ",IF(G44=0,E44,E44+G44-1))</f>
        <v>46096</v>
      </c>
      <c r="G44" s="92">
        <v>15</v>
      </c>
      <c r="H44" s="93">
        <v>0</v>
      </c>
      <c r="I44" s="94">
        <f t="shared" ref="I44" si="25">IF(OR(F44=0,E44=0)," - ",NETWORKDAYS(E44,F44))</f>
        <v>10</v>
      </c>
      <c r="J44" s="95"/>
      <c r="K44" s="122"/>
      <c r="L44" s="122"/>
      <c r="M44" s="122"/>
      <c r="N44" s="122"/>
      <c r="O44" s="122"/>
      <c r="P44" s="122"/>
      <c r="Q44" s="122"/>
      <c r="R44" s="122"/>
      <c r="S44" s="122"/>
      <c r="T44" s="122"/>
      <c r="U44" s="122"/>
      <c r="V44" s="122"/>
      <c r="W44" s="122"/>
      <c r="X44" s="122"/>
      <c r="Y44" s="122"/>
      <c r="Z44" s="122"/>
      <c r="AA44" s="122"/>
      <c r="AB44" s="122"/>
      <c r="AC44" s="122"/>
      <c r="AD44" s="122"/>
      <c r="AE44" s="122"/>
      <c r="AF44" s="122"/>
      <c r="AG44" s="122"/>
      <c r="AH44" s="122"/>
      <c r="AI44" s="122"/>
      <c r="AJ44" s="122"/>
      <c r="AK44" s="122"/>
      <c r="AL44" s="122"/>
      <c r="AM44" s="122"/>
      <c r="AN44" s="122"/>
      <c r="AO44" s="122"/>
      <c r="AP44" s="122"/>
      <c r="AQ44" s="122"/>
      <c r="AR44" s="122"/>
      <c r="AS44" s="122"/>
      <c r="AT44" s="122"/>
      <c r="AU44" s="122"/>
      <c r="AV44" s="122"/>
      <c r="AW44" s="122"/>
      <c r="AX44" s="122"/>
      <c r="AY44" s="122"/>
      <c r="AZ44" s="122"/>
      <c r="BA44" s="122"/>
      <c r="BB44" s="122"/>
      <c r="BC44" s="122"/>
      <c r="BD44" s="122"/>
      <c r="BE44" s="122"/>
      <c r="BF44" s="122"/>
      <c r="BG44" s="122"/>
      <c r="BH44" s="122"/>
      <c r="BI44" s="122"/>
      <c r="BJ44" s="122"/>
      <c r="BK44" s="122"/>
      <c r="BL44" s="122"/>
      <c r="BM44" s="122"/>
      <c r="BN44" s="122"/>
    </row>
    <row r="45" spans="1:66" s="29" customFormat="1" ht="17.399999999999999" hidden="1" x14ac:dyDescent="0.25">
      <c r="A45" s="88" t="str">
        <f t="shared" si="21"/>
        <v>5.8</v>
      </c>
      <c r="B45" s="89" t="s">
        <v>20</v>
      </c>
      <c r="C45" s="81"/>
      <c r="D45" s="90"/>
      <c r="E45" s="91">
        <v>45929</v>
      </c>
      <c r="F45" s="96">
        <f t="shared" si="3"/>
        <v>45938</v>
      </c>
      <c r="G45" s="92">
        <v>10</v>
      </c>
      <c r="H45" s="93">
        <v>0</v>
      </c>
      <c r="I45" s="94">
        <f t="shared" si="4"/>
        <v>8</v>
      </c>
      <c r="J45" s="36"/>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row>
    <row r="46" spans="1:66" s="27" customFormat="1" ht="17.399999999999999" x14ac:dyDescent="0.25">
      <c r="A46" s="82" t="str">
        <f>IF(ISERROR(VALUE(SUBSTITUTE(prevWBS,".",""))),"1",IF(ISERROR(FIND("`",SUBSTITUTE(prevWBS,".","`",1))),TEXT(VALUE(prevWBS)+1,"#"),TEXT(VALUE(LEFT(prevWBS,FIND("`",SUBSTITUTE(prevWBS,".","`",1))-1))+1,"#")))</f>
        <v>6</v>
      </c>
      <c r="B46" s="83"/>
      <c r="C46" s="80"/>
      <c r="D46" s="84"/>
      <c r="E46" s="123"/>
      <c r="F46" s="85"/>
      <c r="G46" s="86"/>
      <c r="H46" s="87"/>
      <c r="I46" s="94" t="str">
        <f t="shared" si="4"/>
        <v xml:space="preserve"> - </v>
      </c>
      <c r="J46" s="37"/>
      <c r="K46" s="41"/>
      <c r="L46" s="41"/>
      <c r="M46" s="4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c r="AM46" s="41"/>
      <c r="AN46" s="41"/>
      <c r="AO46" s="41"/>
      <c r="AP46" s="41"/>
      <c r="AQ46" s="41"/>
      <c r="AR46" s="41"/>
      <c r="AS46" s="41"/>
      <c r="AT46" s="41"/>
      <c r="AU46" s="41"/>
      <c r="AV46" s="41"/>
      <c r="AW46" s="41"/>
      <c r="AX46" s="41"/>
      <c r="AY46" s="41"/>
      <c r="AZ46" s="41"/>
      <c r="BA46" s="41"/>
      <c r="BB46" s="41"/>
      <c r="BC46" s="41"/>
      <c r="BD46" s="41"/>
      <c r="BE46" s="41"/>
      <c r="BF46" s="41"/>
      <c r="BG46" s="41"/>
      <c r="BH46" s="41"/>
      <c r="BI46" s="41"/>
      <c r="BJ46" s="41"/>
      <c r="BK46" s="41"/>
      <c r="BL46" s="41"/>
      <c r="BM46" s="41"/>
      <c r="BN46" s="41"/>
    </row>
    <row r="47" spans="1:66" s="116" customFormat="1" ht="17.399999999999999" x14ac:dyDescent="0.25">
      <c r="A47" s="88" t="str">
        <f t="shared" si="18"/>
        <v>6.1</v>
      </c>
      <c r="B47" s="101"/>
      <c r="C47" s="81"/>
      <c r="D47" s="118"/>
      <c r="E47" s="91">
        <v>46082</v>
      </c>
      <c r="F47" s="103">
        <f>IF(ISBLANK(E47)," - ",IF(G47=0,E47,E47+G47-1))</f>
        <v>46111</v>
      </c>
      <c r="G47" s="104">
        <v>30</v>
      </c>
      <c r="H47" s="119">
        <v>0</v>
      </c>
      <c r="I47" s="99">
        <f>IF(OR(F47=0,E47=0)," - ",NETWORKDAYS(E47,F47))</f>
        <v>21</v>
      </c>
      <c r="J47" s="114"/>
      <c r="K47" s="115"/>
      <c r="L47" s="115"/>
      <c r="M47" s="115"/>
      <c r="N47" s="115"/>
      <c r="O47" s="115"/>
      <c r="P47" s="115"/>
      <c r="Q47" s="115"/>
      <c r="R47" s="115"/>
      <c r="S47" s="115"/>
      <c r="T47" s="115"/>
      <c r="U47" s="115"/>
      <c r="V47" s="115"/>
      <c r="W47" s="115"/>
      <c r="X47" s="115"/>
      <c r="Y47" s="115"/>
      <c r="Z47" s="115"/>
      <c r="AA47" s="115"/>
      <c r="AB47" s="115"/>
      <c r="AC47" s="115"/>
      <c r="AD47" s="115"/>
      <c r="AE47" s="115"/>
      <c r="AF47" s="115"/>
      <c r="AG47" s="115"/>
      <c r="AH47" s="115"/>
      <c r="AI47" s="115"/>
      <c r="AJ47" s="115"/>
      <c r="AK47" s="115"/>
      <c r="AL47" s="115"/>
      <c r="AM47" s="115"/>
      <c r="AN47" s="115"/>
      <c r="AO47" s="41"/>
      <c r="AP47" s="115"/>
      <c r="AQ47" s="115"/>
      <c r="AR47" s="115"/>
      <c r="AS47" s="115"/>
      <c r="AT47" s="115"/>
      <c r="AU47" s="115"/>
      <c r="AV47" s="115"/>
      <c r="AW47" s="115"/>
      <c r="AX47" s="115"/>
      <c r="AY47" s="115"/>
      <c r="AZ47" s="115"/>
      <c r="BA47" s="115"/>
      <c r="BB47" s="115"/>
      <c r="BC47" s="115"/>
      <c r="BD47" s="115"/>
      <c r="BE47" s="115"/>
      <c r="BF47" s="115"/>
      <c r="BG47" s="115"/>
      <c r="BH47" s="115"/>
      <c r="BI47" s="115"/>
      <c r="BJ47" s="115"/>
      <c r="BK47" s="115"/>
      <c r="BL47" s="115"/>
      <c r="BM47" s="115"/>
      <c r="BN47" s="115"/>
    </row>
    <row r="48" spans="1:66" s="116" customFormat="1" ht="17.399999999999999" x14ac:dyDescent="0.25">
      <c r="A48" s="88" t="str">
        <f t="shared" si="18"/>
        <v>6.2</v>
      </c>
      <c r="B48" s="101"/>
      <c r="C48" s="81"/>
      <c r="D48" s="118"/>
      <c r="E48" s="91">
        <v>46082</v>
      </c>
      <c r="F48" s="103">
        <f>IF(ISBLANK(E48)," - ",IF(G48=0,E48,E48+G48-1))</f>
        <v>46104</v>
      </c>
      <c r="G48" s="104">
        <v>23</v>
      </c>
      <c r="H48" s="119">
        <v>0</v>
      </c>
      <c r="I48" s="99">
        <f>IF(OR(F48=0,E48=0)," - ",NETWORKDAYS(E48,F48))</f>
        <v>16</v>
      </c>
      <c r="J48" s="114"/>
      <c r="K48" s="115"/>
      <c r="L48" s="115"/>
      <c r="M48" s="115"/>
      <c r="N48" s="115"/>
      <c r="O48" s="115"/>
      <c r="P48" s="115"/>
      <c r="Q48" s="115"/>
      <c r="R48" s="115"/>
      <c r="S48" s="115"/>
      <c r="T48" s="115"/>
      <c r="U48" s="115"/>
      <c r="V48" s="115"/>
      <c r="W48" s="115"/>
      <c r="X48" s="115"/>
      <c r="Y48" s="115"/>
      <c r="Z48" s="115"/>
      <c r="AA48" s="115"/>
      <c r="AB48" s="115"/>
      <c r="AC48" s="115"/>
      <c r="AD48" s="115"/>
      <c r="AE48" s="115"/>
      <c r="AF48" s="115"/>
      <c r="AG48" s="115"/>
      <c r="AH48" s="115"/>
      <c r="AI48" s="115"/>
      <c r="AJ48" s="115"/>
      <c r="AK48" s="115"/>
      <c r="AL48" s="115"/>
      <c r="AM48" s="115"/>
      <c r="AN48" s="115"/>
      <c r="AO48" s="41"/>
      <c r="AP48" s="115"/>
      <c r="AQ48" s="115"/>
      <c r="AR48" s="115"/>
      <c r="AS48" s="115"/>
      <c r="AT48" s="115"/>
      <c r="AU48" s="115"/>
      <c r="AV48" s="115"/>
      <c r="AW48" s="115"/>
      <c r="AX48" s="115"/>
      <c r="AY48" s="115"/>
      <c r="AZ48" s="115"/>
      <c r="BA48" s="115"/>
      <c r="BB48" s="115"/>
      <c r="BC48" s="115"/>
      <c r="BD48" s="115"/>
      <c r="BE48" s="115"/>
      <c r="BF48" s="115"/>
      <c r="BG48" s="115"/>
      <c r="BH48" s="115"/>
      <c r="BI48" s="115"/>
      <c r="BJ48" s="115"/>
      <c r="BK48" s="115"/>
      <c r="BL48" s="115"/>
      <c r="BM48" s="115"/>
      <c r="BN48" s="115"/>
    </row>
    <row r="49" spans="1:66" s="116" customFormat="1" ht="17.399999999999999" x14ac:dyDescent="0.25">
      <c r="A49" s="88" t="str">
        <f t="shared" si="18"/>
        <v>6.3</v>
      </c>
      <c r="B49" s="101"/>
      <c r="C49" s="81"/>
      <c r="D49" s="118"/>
      <c r="E49" s="91">
        <v>46082</v>
      </c>
      <c r="F49" s="103">
        <f>IF(ISBLANK(E49)," - ",IF(G49=0,E49,E49+G49-1))</f>
        <v>46091</v>
      </c>
      <c r="G49" s="104">
        <v>10</v>
      </c>
      <c r="H49" s="119">
        <v>0</v>
      </c>
      <c r="I49" s="99">
        <f>IF(OR(F49=0,E49=0)," - ",NETWORKDAYS(E49,F49))</f>
        <v>7</v>
      </c>
      <c r="J49" s="114"/>
      <c r="K49" s="115"/>
      <c r="L49" s="115"/>
      <c r="M49" s="115"/>
      <c r="N49" s="115"/>
      <c r="O49" s="115"/>
      <c r="P49" s="115"/>
      <c r="Q49" s="115"/>
      <c r="R49" s="115"/>
      <c r="S49" s="115"/>
      <c r="T49" s="115"/>
      <c r="U49" s="115"/>
      <c r="V49" s="115"/>
      <c r="W49" s="115"/>
      <c r="X49" s="115"/>
      <c r="Y49" s="115"/>
      <c r="Z49" s="115"/>
      <c r="AA49" s="115"/>
      <c r="AB49" s="115"/>
      <c r="AC49" s="115"/>
      <c r="AD49" s="115"/>
      <c r="AE49" s="115"/>
      <c r="AF49" s="115"/>
      <c r="AG49" s="115"/>
      <c r="AH49" s="115"/>
      <c r="AI49" s="115"/>
      <c r="AJ49" s="115"/>
      <c r="AK49" s="115"/>
      <c r="AL49" s="115"/>
      <c r="AM49" s="115"/>
      <c r="AN49" s="115"/>
      <c r="AO49" s="41"/>
      <c r="AP49" s="115"/>
      <c r="AQ49" s="115"/>
      <c r="AR49" s="115"/>
      <c r="AS49" s="115"/>
      <c r="AT49" s="115"/>
      <c r="AU49" s="115"/>
      <c r="AV49" s="115"/>
      <c r="AW49" s="115"/>
      <c r="AX49" s="115"/>
      <c r="AY49" s="115"/>
      <c r="AZ49" s="115"/>
      <c r="BA49" s="115"/>
      <c r="BB49" s="115"/>
      <c r="BC49" s="115"/>
      <c r="BD49" s="115"/>
      <c r="BE49" s="115"/>
      <c r="BF49" s="115"/>
      <c r="BG49" s="115"/>
      <c r="BH49" s="115"/>
      <c r="BI49" s="115"/>
      <c r="BJ49" s="115"/>
      <c r="BK49" s="115"/>
      <c r="BL49" s="115"/>
      <c r="BM49" s="115"/>
      <c r="BN49" s="115"/>
    </row>
    <row r="50" spans="1:66" s="29" customFormat="1" ht="17.399999999999999" x14ac:dyDescent="0.25">
      <c r="A50" s="88" t="str">
        <f t="shared" si="18"/>
        <v>6.4</v>
      </c>
      <c r="B50" s="81"/>
      <c r="C50" s="81"/>
      <c r="D50" s="102"/>
      <c r="E50" s="91">
        <v>46082</v>
      </c>
      <c r="F50" s="103">
        <f>IF(ISBLANK(E50)," - ",IF(G50=0,E50,E50+G50-1))</f>
        <v>46095</v>
      </c>
      <c r="G50" s="104">
        <v>14</v>
      </c>
      <c r="H50" s="105">
        <v>0</v>
      </c>
      <c r="I50" s="99">
        <f>IF(OR(F50=0,E50=0)," - ",NETWORKDAYS(E50,F50))</f>
        <v>10</v>
      </c>
      <c r="J50" s="36"/>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row>
    <row r="51" spans="1:66" s="116" customFormat="1" ht="17.399999999999999" x14ac:dyDescent="0.25">
      <c r="A51" s="88" t="str">
        <f t="shared" ref="A51:A56" si="26">IF(ISERROR(VALUE(SUBSTITUTE(prevWBS,".",""))),"0.1",IF(ISERROR(FIND("`",SUBSTITUTE(prevWBS,".","`",1))),prevWBS&amp;".1",LEFT(prevWBS,FIND("`",SUBSTITUTE(prevWBS,".","`",1)))&amp;IF(ISERROR(FIND("`",SUBSTITUTE(prevWBS,".","`",2))),VALUE(RIGHT(prevWBS,LEN(prevWBS)-FIND("`",SUBSTITUTE(prevWBS,".","`",1))))+1,VALUE(MID(prevWBS,FIND("`",SUBSTITUTE(prevWBS,".","`",1))+1,(FIND("`",SUBSTITUTE(prevWBS,".","`",2))-FIND("`",SUBSTITUTE(prevWBS,".","`",1))-1)))+1)))</f>
        <v>6.5</v>
      </c>
      <c r="B51" s="89"/>
      <c r="C51" s="81"/>
      <c r="D51" s="90"/>
      <c r="E51" s="91">
        <v>46082</v>
      </c>
      <c r="F51" s="97">
        <f t="shared" si="3"/>
        <v>46094</v>
      </c>
      <c r="G51" s="104">
        <v>13</v>
      </c>
      <c r="H51" s="113">
        <v>0</v>
      </c>
      <c r="I51" s="94">
        <f t="shared" si="4"/>
        <v>10</v>
      </c>
      <c r="J51" s="114"/>
      <c r="K51" s="115"/>
      <c r="L51" s="115"/>
      <c r="M51" s="115"/>
      <c r="N51" s="115"/>
      <c r="O51" s="115"/>
      <c r="P51" s="115"/>
      <c r="Q51" s="115"/>
      <c r="R51" s="115"/>
      <c r="S51" s="115"/>
      <c r="T51" s="115"/>
      <c r="U51" s="115"/>
      <c r="V51" s="115"/>
      <c r="W51" s="115"/>
      <c r="X51" s="115"/>
      <c r="Y51" s="115"/>
      <c r="Z51" s="115"/>
      <c r="AA51" s="115"/>
      <c r="AB51" s="115"/>
      <c r="AC51" s="115"/>
      <c r="AD51" s="115"/>
      <c r="AE51" s="115"/>
      <c r="AF51" s="115"/>
      <c r="AG51" s="115"/>
      <c r="AH51" s="115"/>
      <c r="AI51" s="115"/>
      <c r="AJ51" s="115"/>
      <c r="AK51" s="115"/>
      <c r="AL51" s="115"/>
      <c r="AM51" s="115"/>
      <c r="AN51" s="115"/>
      <c r="AO51" s="115"/>
      <c r="AP51" s="115"/>
      <c r="AQ51" s="115"/>
      <c r="AR51" s="115"/>
      <c r="AS51" s="115"/>
      <c r="AT51" s="115"/>
      <c r="AU51" s="115"/>
      <c r="AV51" s="115"/>
      <c r="AW51" s="115"/>
      <c r="AX51" s="115"/>
      <c r="AY51" s="115"/>
      <c r="AZ51" s="115"/>
      <c r="BA51" s="115"/>
      <c r="BB51" s="115"/>
      <c r="BC51" s="115"/>
      <c r="BD51" s="115"/>
      <c r="BE51" s="115"/>
      <c r="BF51" s="115"/>
      <c r="BG51" s="115"/>
      <c r="BH51" s="115"/>
      <c r="BI51" s="115"/>
      <c r="BJ51" s="115"/>
      <c r="BK51" s="115"/>
      <c r="BL51" s="115"/>
      <c r="BM51" s="115"/>
      <c r="BN51" s="115"/>
    </row>
    <row r="52" spans="1:66" s="29" customFormat="1" ht="14.4" customHeight="1" x14ac:dyDescent="0.25">
      <c r="A52" s="88" t="str">
        <f t="shared" si="26"/>
        <v>6.6</v>
      </c>
      <c r="B52" s="124"/>
      <c r="C52" s="81"/>
      <c r="D52" s="90"/>
      <c r="E52" s="91">
        <v>46082</v>
      </c>
      <c r="F52" s="97">
        <f>IF(ISBLANK(E52)," - ",IF(G52=0,E52,E52+G52-1))</f>
        <v>46093</v>
      </c>
      <c r="G52" s="104">
        <v>12</v>
      </c>
      <c r="H52" s="93">
        <v>0</v>
      </c>
      <c r="I52" s="94">
        <f>IF(OR(F52=0,E52=0)," - ",NETWORKDAYS(E52,F52))</f>
        <v>9</v>
      </c>
      <c r="J52" s="36"/>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row>
    <row r="53" spans="1:66" s="29" customFormat="1" ht="14.4" customHeight="1" x14ac:dyDescent="0.25">
      <c r="A53" s="88" t="str">
        <f t="shared" si="26"/>
        <v>6.7</v>
      </c>
      <c r="B53" s="81"/>
      <c r="C53" s="81"/>
      <c r="D53" s="90"/>
      <c r="E53" s="91">
        <v>46082</v>
      </c>
      <c r="F53" s="97">
        <f>IF(ISBLANK(E53)," - ",IF(G53=0,E53,E53+G53-1))</f>
        <v>46094</v>
      </c>
      <c r="G53" s="104">
        <v>13</v>
      </c>
      <c r="H53" s="93">
        <v>0</v>
      </c>
      <c r="I53" s="94">
        <f>IF(OR(F53=0,E53=0)," - ",NETWORKDAYS(E53,F53))</f>
        <v>10</v>
      </c>
      <c r="J53" s="95"/>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row>
    <row r="54" spans="1:66" s="116" customFormat="1" ht="17.399999999999999" x14ac:dyDescent="0.25">
      <c r="A54" s="88" t="str">
        <f t="shared" si="26"/>
        <v>6.8</v>
      </c>
      <c r="B54" s="89"/>
      <c r="C54" s="81"/>
      <c r="D54" s="90"/>
      <c r="E54" s="91">
        <v>46082</v>
      </c>
      <c r="F54" s="96">
        <f t="shared" ref="F54:F56" si="27">IF(ISBLANK(E54)," - ",IF(G54=0,E54,E54+G54-1))</f>
        <v>46101</v>
      </c>
      <c r="G54" s="104">
        <v>20</v>
      </c>
      <c r="H54" s="113">
        <v>0</v>
      </c>
      <c r="I54" s="94">
        <f t="shared" ref="I54:I56" si="28">IF(OR(F54=0,E54=0)," - ",NETWORKDAYS(E54,F54))</f>
        <v>15</v>
      </c>
      <c r="J54" s="114"/>
      <c r="K54" s="115"/>
      <c r="L54" s="115"/>
      <c r="M54" s="115"/>
      <c r="N54" s="115"/>
      <c r="O54" s="115"/>
      <c r="P54" s="115"/>
      <c r="Q54" s="115"/>
      <c r="R54" s="115"/>
      <c r="S54" s="115"/>
      <c r="T54" s="115"/>
      <c r="U54" s="115"/>
      <c r="V54" s="115"/>
      <c r="W54" s="115"/>
      <c r="X54" s="115"/>
      <c r="Y54" s="115"/>
      <c r="Z54" s="115"/>
      <c r="AA54" s="115"/>
      <c r="AB54" s="115"/>
      <c r="AC54" s="115"/>
      <c r="AD54" s="115"/>
      <c r="AE54" s="115"/>
      <c r="AF54" s="115"/>
      <c r="AG54" s="115"/>
      <c r="AH54" s="115"/>
      <c r="AI54" s="115"/>
      <c r="AJ54" s="115"/>
      <c r="AK54" s="115"/>
      <c r="AL54" s="115"/>
      <c r="AM54" s="115"/>
      <c r="AN54" s="115"/>
      <c r="AO54" s="115"/>
      <c r="AP54" s="115"/>
      <c r="AQ54" s="115"/>
      <c r="AR54" s="115"/>
      <c r="AS54" s="115"/>
      <c r="AT54" s="115"/>
      <c r="AU54" s="115"/>
      <c r="AV54" s="115"/>
      <c r="AW54" s="115"/>
      <c r="AX54" s="115"/>
      <c r="AY54" s="115"/>
      <c r="AZ54" s="115"/>
      <c r="BA54" s="115"/>
      <c r="BB54" s="115"/>
      <c r="BC54" s="115"/>
      <c r="BD54" s="115"/>
      <c r="BE54" s="115"/>
      <c r="BF54" s="115"/>
      <c r="BG54" s="115"/>
      <c r="BH54" s="115"/>
      <c r="BI54" s="115"/>
      <c r="BJ54" s="115"/>
      <c r="BK54" s="115"/>
      <c r="BL54" s="115"/>
      <c r="BM54" s="115"/>
      <c r="BN54" s="115"/>
    </row>
    <row r="55" spans="1:66" s="116" customFormat="1" ht="17.399999999999999" x14ac:dyDescent="0.25">
      <c r="A55" s="88" t="str">
        <f t="shared" si="26"/>
        <v>6.9</v>
      </c>
      <c r="B55" s="89"/>
      <c r="C55" s="81"/>
      <c r="D55" s="90"/>
      <c r="E55" s="91">
        <v>46082</v>
      </c>
      <c r="F55" s="96">
        <f t="shared" si="27"/>
        <v>46111</v>
      </c>
      <c r="G55" s="104">
        <v>30</v>
      </c>
      <c r="H55" s="113">
        <v>0</v>
      </c>
      <c r="I55" s="94">
        <f t="shared" si="28"/>
        <v>21</v>
      </c>
      <c r="J55" s="114"/>
      <c r="K55" s="115"/>
      <c r="L55" s="115"/>
      <c r="M55" s="115"/>
      <c r="N55" s="115"/>
      <c r="O55" s="115"/>
      <c r="P55" s="115"/>
      <c r="Q55" s="115"/>
      <c r="R55" s="115"/>
      <c r="S55" s="115"/>
      <c r="T55" s="115"/>
      <c r="U55" s="115"/>
      <c r="V55" s="115"/>
      <c r="W55" s="115"/>
      <c r="X55" s="115"/>
      <c r="Y55" s="115"/>
      <c r="Z55" s="115"/>
      <c r="AA55" s="115"/>
      <c r="AB55" s="115"/>
      <c r="AC55" s="115"/>
      <c r="AD55" s="115"/>
      <c r="AE55" s="115"/>
      <c r="AF55" s="115"/>
      <c r="AG55" s="115"/>
      <c r="AH55" s="115"/>
      <c r="AI55" s="115"/>
      <c r="AJ55" s="115"/>
      <c r="AK55" s="115"/>
      <c r="AL55" s="115"/>
      <c r="AM55" s="115"/>
      <c r="AN55" s="115"/>
      <c r="AO55" s="115"/>
      <c r="AP55" s="115"/>
      <c r="AQ55" s="115"/>
      <c r="AR55" s="115"/>
      <c r="AS55" s="115"/>
      <c r="AT55" s="115"/>
      <c r="AU55" s="115"/>
      <c r="AV55" s="115"/>
      <c r="AW55" s="115"/>
      <c r="AX55" s="115"/>
      <c r="AY55" s="115"/>
      <c r="AZ55" s="115"/>
      <c r="BA55" s="115"/>
      <c r="BB55" s="115"/>
      <c r="BC55" s="115"/>
      <c r="BD55" s="115"/>
      <c r="BE55" s="115"/>
      <c r="BF55" s="115"/>
      <c r="BG55" s="115"/>
      <c r="BH55" s="115"/>
      <c r="BI55" s="115"/>
      <c r="BJ55" s="115"/>
      <c r="BK55" s="115"/>
      <c r="BL55" s="115"/>
      <c r="BM55" s="115"/>
      <c r="BN55" s="115"/>
    </row>
    <row r="56" spans="1:66" s="116" customFormat="1" ht="17.399999999999999" x14ac:dyDescent="0.25">
      <c r="A56" s="88" t="str">
        <f t="shared" si="26"/>
        <v>6.10</v>
      </c>
      <c r="B56" s="89"/>
      <c r="C56" s="81"/>
      <c r="D56" s="90"/>
      <c r="E56" s="91">
        <v>46082</v>
      </c>
      <c r="F56" s="96">
        <f t="shared" si="27"/>
        <v>46125</v>
      </c>
      <c r="G56" s="92">
        <v>44</v>
      </c>
      <c r="H56" s="113">
        <v>0</v>
      </c>
      <c r="I56" s="94">
        <f t="shared" si="28"/>
        <v>31</v>
      </c>
      <c r="J56" s="114"/>
      <c r="K56" s="115"/>
      <c r="L56" s="115"/>
      <c r="M56" s="115"/>
      <c r="N56" s="115"/>
      <c r="O56" s="115"/>
      <c r="P56" s="115"/>
      <c r="Q56" s="115"/>
      <c r="R56" s="115"/>
      <c r="S56" s="115"/>
      <c r="T56" s="115"/>
      <c r="U56" s="115"/>
      <c r="V56" s="115"/>
      <c r="W56" s="115"/>
      <c r="X56" s="115"/>
      <c r="Y56" s="115"/>
      <c r="Z56" s="115"/>
      <c r="AA56" s="115"/>
      <c r="AB56" s="115"/>
      <c r="AC56" s="115"/>
      <c r="AD56" s="115"/>
      <c r="AE56" s="115"/>
      <c r="AF56" s="115"/>
      <c r="AG56" s="115"/>
      <c r="AH56" s="115"/>
      <c r="AI56" s="115"/>
      <c r="AJ56" s="115"/>
      <c r="AK56" s="115"/>
      <c r="AL56" s="115"/>
      <c r="AM56" s="115"/>
      <c r="AN56" s="115"/>
      <c r="AO56" s="115"/>
      <c r="AP56" s="115"/>
      <c r="AQ56" s="115"/>
      <c r="AR56" s="115"/>
      <c r="AS56" s="115"/>
      <c r="AT56" s="115"/>
      <c r="AU56" s="115"/>
      <c r="AV56" s="115"/>
      <c r="AW56" s="115"/>
      <c r="AX56" s="115"/>
      <c r="AY56" s="115"/>
      <c r="AZ56" s="115"/>
      <c r="BA56" s="115"/>
      <c r="BB56" s="115"/>
      <c r="BC56" s="115"/>
      <c r="BD56" s="115"/>
      <c r="BE56" s="115"/>
      <c r="BF56" s="115"/>
      <c r="BG56" s="115"/>
      <c r="BH56" s="115"/>
      <c r="BI56" s="115"/>
      <c r="BJ56" s="115"/>
      <c r="BK56" s="115"/>
      <c r="BL56" s="115"/>
      <c r="BM56" s="115"/>
      <c r="BN56" s="115"/>
    </row>
    <row r="57" spans="1:66" s="27" customFormat="1" ht="17.399999999999999" x14ac:dyDescent="0.25">
      <c r="A57" s="82" t="str">
        <f>IF(ISERROR(VALUE(SUBSTITUTE(prevWBS,".",""))),"1",IF(ISERROR(FIND("`",SUBSTITUTE(prevWBS,".","`",1))),TEXT(VALUE(prevWBS)+1,"#"),TEXT(VALUE(LEFT(prevWBS,FIND("`",SUBSTITUTE(prevWBS,".","`",1))-1))+1,"#")))</f>
        <v>7</v>
      </c>
      <c r="B57" s="83"/>
      <c r="C57" s="80"/>
      <c r="D57" s="84"/>
      <c r="E57" s="85"/>
      <c r="F57" s="85" t="str">
        <f t="shared" si="3"/>
        <v xml:space="preserve"> - </v>
      </c>
      <c r="G57" s="86"/>
      <c r="H57" s="87"/>
      <c r="I57" s="94" t="str">
        <f t="shared" si="4"/>
        <v xml:space="preserve"> - </v>
      </c>
      <c r="J57" s="37"/>
      <c r="K57" s="41"/>
      <c r="L57" s="41"/>
      <c r="M57" s="41"/>
      <c r="N57" s="41"/>
      <c r="O57" s="41"/>
      <c r="P57" s="41"/>
      <c r="Q57" s="41"/>
      <c r="R57" s="41"/>
      <c r="S57" s="41"/>
      <c r="T57" s="41"/>
      <c r="U57" s="41"/>
      <c r="V57" s="41"/>
      <c r="W57" s="41"/>
      <c r="X57" s="41"/>
      <c r="Y57" s="41"/>
      <c r="Z57" s="41"/>
      <c r="AA57" s="41"/>
      <c r="AB57" s="41"/>
      <c r="AC57" s="41"/>
      <c r="AD57" s="41"/>
      <c r="AE57" s="41"/>
      <c r="AF57" s="41"/>
      <c r="AG57" s="41"/>
      <c r="AH57" s="41"/>
      <c r="AI57" s="41"/>
      <c r="AJ57" s="41"/>
      <c r="AK57" s="41"/>
      <c r="AL57" s="41"/>
      <c r="AM57" s="41"/>
      <c r="AN57" s="41"/>
      <c r="AO57" s="41"/>
      <c r="AP57" s="41"/>
      <c r="AQ57" s="41"/>
      <c r="AR57" s="41"/>
      <c r="AS57" s="41"/>
      <c r="AT57" s="41"/>
      <c r="AU57" s="41"/>
      <c r="AV57" s="41"/>
      <c r="AW57" s="41"/>
      <c r="AX57" s="41"/>
      <c r="AY57" s="41"/>
      <c r="AZ57" s="41"/>
      <c r="BA57" s="41"/>
      <c r="BB57" s="41"/>
      <c r="BC57" s="41"/>
      <c r="BD57" s="41"/>
      <c r="BE57" s="41"/>
      <c r="BF57" s="41"/>
      <c r="BG57" s="41"/>
      <c r="BH57" s="41"/>
      <c r="BI57" s="41"/>
      <c r="BJ57" s="41"/>
      <c r="BK57" s="41"/>
      <c r="BL57" s="41"/>
      <c r="BM57" s="41"/>
      <c r="BN57" s="41"/>
    </row>
    <row r="58" spans="1:66" s="116" customFormat="1" ht="17.399999999999999" x14ac:dyDescent="0.25">
      <c r="A58" s="88" t="str">
        <f t="shared" ref="A58:A64" si="29">IF(ISERROR(VALUE(SUBSTITUTE(prevWBS,".",""))),"0.1",IF(ISERROR(FIND("`",SUBSTITUTE(prevWBS,".","`",1))),prevWBS&amp;".1",LEFT(prevWBS,FIND("`",SUBSTITUTE(prevWBS,".","`",1)))&amp;IF(ISERROR(FIND("`",SUBSTITUTE(prevWBS,".","`",2))),VALUE(RIGHT(prevWBS,LEN(prevWBS)-FIND("`",SUBSTITUTE(prevWBS,".","`",1))))+1,VALUE(MID(prevWBS,FIND("`",SUBSTITUTE(prevWBS,".","`",1))+1,(FIND("`",SUBSTITUTE(prevWBS,".","`",2))-FIND("`",SUBSTITUTE(prevWBS,".","`",1))-1)))+1)))</f>
        <v>7.1</v>
      </c>
      <c r="B58" s="89"/>
      <c r="C58" s="81"/>
      <c r="D58" s="90"/>
      <c r="E58" s="91">
        <v>46082</v>
      </c>
      <c r="F58" s="96">
        <f t="shared" si="3"/>
        <v>46091</v>
      </c>
      <c r="G58" s="92">
        <v>10</v>
      </c>
      <c r="H58" s="113">
        <v>0</v>
      </c>
      <c r="I58" s="94">
        <f t="shared" si="4"/>
        <v>7</v>
      </c>
      <c r="J58" s="114"/>
      <c r="K58" s="115"/>
      <c r="L58" s="115"/>
      <c r="M58" s="115"/>
      <c r="N58" s="115"/>
      <c r="O58" s="115"/>
      <c r="P58" s="115"/>
      <c r="Q58" s="115"/>
      <c r="R58" s="115"/>
      <c r="S58" s="115"/>
      <c r="T58" s="115"/>
      <c r="U58" s="115"/>
      <c r="V58" s="115"/>
      <c r="W58" s="115"/>
      <c r="X58" s="115"/>
      <c r="Y58" s="115"/>
      <c r="Z58" s="115"/>
      <c r="AA58" s="115"/>
      <c r="AB58" s="115"/>
      <c r="AC58" s="115"/>
      <c r="AD58" s="115"/>
      <c r="AE58" s="115"/>
      <c r="AF58" s="115"/>
      <c r="AG58" s="115"/>
      <c r="AH58" s="115"/>
      <c r="AI58" s="115"/>
      <c r="AJ58" s="115"/>
      <c r="AK58" s="115"/>
      <c r="AL58" s="115"/>
      <c r="AM58" s="115"/>
      <c r="AN58" s="115"/>
      <c r="AO58" s="115"/>
      <c r="AP58" s="115"/>
      <c r="AQ58" s="115"/>
      <c r="AR58" s="115"/>
      <c r="AS58" s="115"/>
      <c r="AT58" s="115"/>
      <c r="AU58" s="115"/>
      <c r="AV58" s="115"/>
      <c r="AW58" s="115"/>
      <c r="AX58" s="115"/>
      <c r="AY58" s="115"/>
      <c r="AZ58" s="115"/>
      <c r="BA58" s="115"/>
      <c r="BB58" s="115"/>
      <c r="BC58" s="115"/>
      <c r="BD58" s="115"/>
      <c r="BE58" s="115"/>
      <c r="BF58" s="115"/>
      <c r="BG58" s="115"/>
      <c r="BH58" s="115"/>
      <c r="BI58" s="115"/>
      <c r="BJ58" s="115"/>
      <c r="BK58" s="115"/>
      <c r="BL58" s="115"/>
      <c r="BM58" s="115"/>
      <c r="BN58" s="115"/>
    </row>
    <row r="59" spans="1:66" s="116" customFormat="1" ht="17.399999999999999" x14ac:dyDescent="0.25">
      <c r="A59" s="88" t="str">
        <f t="shared" si="29"/>
        <v>7.2</v>
      </c>
      <c r="B59" s="89"/>
      <c r="C59" s="81"/>
      <c r="D59" s="90"/>
      <c r="E59" s="91">
        <v>46082</v>
      </c>
      <c r="F59" s="96">
        <f t="shared" ref="F59:F63" si="30">IF(ISBLANK(E59)," - ",IF(G59=0,E59,E59+G59-1))</f>
        <v>46090</v>
      </c>
      <c r="G59" s="92">
        <v>9</v>
      </c>
      <c r="H59" s="113">
        <v>0</v>
      </c>
      <c r="I59" s="94">
        <f t="shared" ref="I59:I63" si="31">IF(OR(F59=0,E59=0)," - ",NETWORKDAYS(E59,F59))</f>
        <v>6</v>
      </c>
      <c r="J59" s="114"/>
      <c r="K59" s="115"/>
      <c r="L59" s="115"/>
      <c r="M59" s="115"/>
      <c r="N59" s="115"/>
      <c r="O59" s="115"/>
      <c r="P59" s="115"/>
      <c r="Q59" s="115"/>
      <c r="R59" s="115"/>
      <c r="S59" s="115"/>
      <c r="T59" s="115"/>
      <c r="U59" s="115"/>
      <c r="V59" s="115"/>
      <c r="W59" s="115"/>
      <c r="X59" s="115"/>
      <c r="Y59" s="115"/>
      <c r="Z59" s="115"/>
      <c r="AA59" s="115"/>
      <c r="AB59" s="115"/>
      <c r="AC59" s="115"/>
      <c r="AD59" s="115"/>
      <c r="AE59" s="115"/>
      <c r="AF59" s="115"/>
      <c r="AG59" s="115"/>
      <c r="AH59" s="115"/>
      <c r="AI59" s="115"/>
      <c r="AJ59" s="115"/>
      <c r="AK59" s="115"/>
      <c r="AL59" s="115"/>
      <c r="AM59" s="115"/>
      <c r="AN59" s="115"/>
      <c r="AO59" s="115"/>
      <c r="AP59" s="115"/>
      <c r="AQ59" s="115"/>
      <c r="AR59" s="115"/>
      <c r="AS59" s="115"/>
      <c r="AT59" s="115"/>
      <c r="AU59" s="115"/>
      <c r="AV59" s="115"/>
      <c r="AW59" s="115"/>
      <c r="AX59" s="115"/>
      <c r="AY59" s="115"/>
      <c r="AZ59" s="115"/>
      <c r="BA59" s="115"/>
      <c r="BB59" s="115"/>
      <c r="BC59" s="115"/>
      <c r="BD59" s="115"/>
      <c r="BE59" s="115"/>
      <c r="BF59" s="115"/>
      <c r="BG59" s="115"/>
      <c r="BH59" s="115"/>
      <c r="BI59" s="115"/>
      <c r="BJ59" s="115"/>
      <c r="BK59" s="115"/>
      <c r="BL59" s="115"/>
      <c r="BM59" s="115"/>
      <c r="BN59" s="115"/>
    </row>
    <row r="60" spans="1:66" s="116" customFormat="1" ht="17.399999999999999" x14ac:dyDescent="0.25">
      <c r="A60" s="88" t="str">
        <f t="shared" si="29"/>
        <v>7.3</v>
      </c>
      <c r="B60" s="89"/>
      <c r="C60" s="81"/>
      <c r="D60" s="90"/>
      <c r="E60" s="91">
        <v>46082</v>
      </c>
      <c r="F60" s="96">
        <f t="shared" si="30"/>
        <v>46089</v>
      </c>
      <c r="G60" s="92">
        <v>8</v>
      </c>
      <c r="H60" s="113">
        <v>0</v>
      </c>
      <c r="I60" s="94">
        <f t="shared" si="31"/>
        <v>5</v>
      </c>
      <c r="J60" s="114"/>
      <c r="K60" s="115"/>
      <c r="L60" s="115"/>
      <c r="M60" s="115"/>
      <c r="N60" s="115"/>
      <c r="O60" s="115"/>
      <c r="P60" s="115"/>
      <c r="Q60" s="115"/>
      <c r="R60" s="115"/>
      <c r="S60" s="115"/>
      <c r="T60" s="115"/>
      <c r="U60" s="115"/>
      <c r="V60" s="115"/>
      <c r="W60" s="115"/>
      <c r="X60" s="115"/>
      <c r="Y60" s="115"/>
      <c r="Z60" s="115"/>
      <c r="AA60" s="115"/>
      <c r="AB60" s="115"/>
      <c r="AC60" s="115"/>
      <c r="AD60" s="115"/>
      <c r="AE60" s="115"/>
      <c r="AF60" s="115"/>
      <c r="AG60" s="115"/>
      <c r="AH60" s="115"/>
      <c r="AI60" s="115"/>
      <c r="AJ60" s="115"/>
      <c r="AK60" s="115"/>
      <c r="AL60" s="115"/>
      <c r="AM60" s="115"/>
      <c r="AN60" s="115"/>
      <c r="AO60" s="115"/>
      <c r="AP60" s="115"/>
      <c r="AQ60" s="115"/>
      <c r="AR60" s="115"/>
      <c r="AS60" s="115"/>
      <c r="AT60" s="115"/>
      <c r="AU60" s="115"/>
      <c r="AV60" s="115"/>
      <c r="AW60" s="115"/>
      <c r="AX60" s="115"/>
      <c r="AY60" s="115"/>
      <c r="AZ60" s="115"/>
      <c r="BA60" s="115"/>
      <c r="BB60" s="115"/>
      <c r="BC60" s="115"/>
      <c r="BD60" s="115"/>
      <c r="BE60" s="115"/>
      <c r="BF60" s="115"/>
      <c r="BG60" s="115"/>
      <c r="BH60" s="115"/>
      <c r="BI60" s="115"/>
      <c r="BJ60" s="115"/>
      <c r="BK60" s="115"/>
      <c r="BL60" s="115"/>
      <c r="BM60" s="115"/>
      <c r="BN60" s="115"/>
    </row>
    <row r="61" spans="1:66" s="116" customFormat="1" ht="17.399999999999999" x14ac:dyDescent="0.25">
      <c r="A61" s="88" t="str">
        <f t="shared" si="29"/>
        <v>7.4</v>
      </c>
      <c r="B61" s="89"/>
      <c r="C61" s="81"/>
      <c r="D61" s="90"/>
      <c r="E61" s="91">
        <v>46082</v>
      </c>
      <c r="F61" s="96">
        <f t="shared" si="30"/>
        <v>46088</v>
      </c>
      <c r="G61" s="92">
        <v>7</v>
      </c>
      <c r="H61" s="113">
        <v>0</v>
      </c>
      <c r="I61" s="94">
        <f t="shared" si="31"/>
        <v>5</v>
      </c>
      <c r="J61" s="114"/>
      <c r="K61" s="115"/>
      <c r="L61" s="115"/>
      <c r="M61" s="115"/>
      <c r="N61" s="115"/>
      <c r="O61" s="115"/>
      <c r="P61" s="115"/>
      <c r="Q61" s="115"/>
      <c r="R61" s="115"/>
      <c r="S61" s="115"/>
      <c r="T61" s="115"/>
      <c r="U61" s="115"/>
      <c r="V61" s="115"/>
      <c r="W61" s="115"/>
      <c r="X61" s="115"/>
      <c r="Y61" s="115"/>
      <c r="Z61" s="115"/>
      <c r="AA61" s="115"/>
      <c r="AB61" s="115"/>
      <c r="AC61" s="115"/>
      <c r="AD61" s="115"/>
      <c r="AE61" s="115"/>
      <c r="AF61" s="115"/>
      <c r="AG61" s="115"/>
      <c r="AH61" s="115"/>
      <c r="AI61" s="115"/>
      <c r="AJ61" s="115"/>
      <c r="AK61" s="115"/>
      <c r="AL61" s="115"/>
      <c r="AM61" s="115"/>
      <c r="AN61" s="115"/>
      <c r="AO61" s="115"/>
      <c r="AP61" s="115"/>
      <c r="AQ61" s="115"/>
      <c r="AR61" s="115"/>
      <c r="AS61" s="115"/>
      <c r="AT61" s="115"/>
      <c r="AU61" s="115"/>
      <c r="AV61" s="115"/>
      <c r="AW61" s="115"/>
      <c r="AX61" s="115"/>
      <c r="AY61" s="115"/>
      <c r="AZ61" s="115"/>
      <c r="BA61" s="115"/>
      <c r="BB61" s="115"/>
      <c r="BC61" s="115"/>
      <c r="BD61" s="115"/>
      <c r="BE61" s="115"/>
      <c r="BF61" s="115"/>
      <c r="BG61" s="115"/>
      <c r="BH61" s="115"/>
      <c r="BI61" s="115"/>
      <c r="BJ61" s="115"/>
      <c r="BK61" s="115"/>
      <c r="BL61" s="115"/>
      <c r="BM61" s="115"/>
      <c r="BN61" s="115"/>
    </row>
    <row r="62" spans="1:66" s="116" customFormat="1" ht="17.399999999999999" x14ac:dyDescent="0.25">
      <c r="A62" s="88" t="str">
        <f t="shared" si="29"/>
        <v>7.5</v>
      </c>
      <c r="B62" s="89"/>
      <c r="C62" s="81"/>
      <c r="D62" s="90"/>
      <c r="E62" s="91">
        <v>46082</v>
      </c>
      <c r="F62" s="96">
        <f t="shared" si="30"/>
        <v>46087</v>
      </c>
      <c r="G62" s="92">
        <v>6</v>
      </c>
      <c r="H62" s="113">
        <v>0</v>
      </c>
      <c r="I62" s="94">
        <f t="shared" si="31"/>
        <v>5</v>
      </c>
      <c r="J62" s="114"/>
      <c r="K62" s="115"/>
      <c r="L62" s="115"/>
      <c r="M62" s="115"/>
      <c r="N62" s="115"/>
      <c r="O62" s="115"/>
      <c r="P62" s="115"/>
      <c r="Q62" s="115"/>
      <c r="R62" s="115"/>
      <c r="S62" s="115"/>
      <c r="T62" s="115"/>
      <c r="U62" s="115"/>
      <c r="V62" s="115"/>
      <c r="W62" s="115"/>
      <c r="X62" s="115"/>
      <c r="Y62" s="115"/>
      <c r="Z62" s="115"/>
      <c r="AA62" s="115"/>
      <c r="AB62" s="115"/>
      <c r="AC62" s="115"/>
      <c r="AD62" s="115"/>
      <c r="AE62" s="115"/>
      <c r="AF62" s="115"/>
      <c r="AG62" s="115"/>
      <c r="AH62" s="115"/>
      <c r="AI62" s="115"/>
      <c r="AJ62" s="115"/>
      <c r="AK62" s="115"/>
      <c r="AL62" s="115"/>
      <c r="AM62" s="115"/>
      <c r="AN62" s="115"/>
      <c r="AO62" s="115"/>
      <c r="AP62" s="115"/>
      <c r="AQ62" s="115"/>
      <c r="AR62" s="115"/>
      <c r="AS62" s="115"/>
      <c r="AT62" s="115"/>
      <c r="AU62" s="115"/>
      <c r="AV62" s="115"/>
      <c r="AW62" s="115"/>
      <c r="AX62" s="115"/>
      <c r="AY62" s="115"/>
      <c r="AZ62" s="115"/>
      <c r="BA62" s="115"/>
      <c r="BB62" s="115"/>
      <c r="BC62" s="115"/>
      <c r="BD62" s="115"/>
      <c r="BE62" s="115"/>
      <c r="BF62" s="115"/>
      <c r="BG62" s="115"/>
      <c r="BH62" s="115"/>
      <c r="BI62" s="115"/>
      <c r="BJ62" s="115"/>
      <c r="BK62" s="115"/>
      <c r="BL62" s="115"/>
      <c r="BM62" s="115"/>
      <c r="BN62" s="115"/>
    </row>
    <row r="63" spans="1:66" s="116" customFormat="1" ht="25.8" customHeight="1" x14ac:dyDescent="0.25">
      <c r="A63" s="88" t="str">
        <f t="shared" si="29"/>
        <v>7.6</v>
      </c>
      <c r="B63" s="89"/>
      <c r="C63" s="81"/>
      <c r="D63" s="90"/>
      <c r="E63" s="91">
        <v>46082</v>
      </c>
      <c r="F63" s="96">
        <f t="shared" si="30"/>
        <v>46086</v>
      </c>
      <c r="G63" s="92">
        <v>5</v>
      </c>
      <c r="H63" s="113">
        <v>0</v>
      </c>
      <c r="I63" s="94">
        <f t="shared" si="31"/>
        <v>4</v>
      </c>
      <c r="J63" s="114"/>
      <c r="K63" s="115"/>
      <c r="L63" s="115"/>
      <c r="M63" s="115"/>
      <c r="N63" s="115"/>
      <c r="O63" s="115"/>
      <c r="P63" s="115"/>
      <c r="Q63" s="115"/>
      <c r="R63" s="115"/>
      <c r="S63" s="115"/>
      <c r="T63" s="115"/>
      <c r="U63" s="115"/>
      <c r="V63" s="115"/>
      <c r="W63" s="115"/>
      <c r="X63" s="115"/>
      <c r="Y63" s="115"/>
      <c r="Z63" s="115"/>
      <c r="AA63" s="115"/>
      <c r="AB63" s="115"/>
      <c r="AC63" s="115"/>
      <c r="AD63" s="115"/>
      <c r="AE63" s="115"/>
      <c r="AF63" s="115"/>
      <c r="AG63" s="115"/>
      <c r="AH63" s="115"/>
      <c r="AI63" s="115"/>
      <c r="AJ63" s="115"/>
      <c r="AK63" s="115"/>
      <c r="AL63" s="115"/>
      <c r="AM63" s="115"/>
      <c r="AN63" s="115"/>
      <c r="AO63" s="115"/>
      <c r="AP63" s="115"/>
      <c r="AQ63" s="115"/>
      <c r="AR63" s="115"/>
      <c r="AS63" s="115"/>
      <c r="AT63" s="115"/>
      <c r="AU63" s="115"/>
      <c r="AV63" s="115"/>
      <c r="AW63" s="115"/>
      <c r="AX63" s="115"/>
      <c r="AY63" s="115"/>
      <c r="AZ63" s="115"/>
      <c r="BA63" s="115"/>
      <c r="BB63" s="115"/>
      <c r="BC63" s="115"/>
      <c r="BD63" s="115"/>
      <c r="BE63" s="115"/>
      <c r="BF63" s="115"/>
      <c r="BG63" s="115"/>
      <c r="BH63" s="115"/>
      <c r="BI63" s="115"/>
      <c r="BJ63" s="115"/>
      <c r="BK63" s="115"/>
      <c r="BL63" s="115"/>
      <c r="BM63" s="115"/>
      <c r="BN63" s="115"/>
    </row>
    <row r="64" spans="1:66" s="29" customFormat="1" ht="17.399999999999999" x14ac:dyDescent="0.25">
      <c r="A64" s="88" t="str">
        <f t="shared" si="29"/>
        <v>7.7</v>
      </c>
      <c r="B64" s="89"/>
      <c r="C64" s="81"/>
      <c r="D64" s="90"/>
      <c r="E64" s="91">
        <v>46082</v>
      </c>
      <c r="F64" s="96">
        <f t="shared" si="3"/>
        <v>46085</v>
      </c>
      <c r="G64" s="92">
        <v>4</v>
      </c>
      <c r="H64" s="93">
        <v>0</v>
      </c>
      <c r="I64" s="94">
        <f t="shared" si="4"/>
        <v>3</v>
      </c>
      <c r="J64" s="36"/>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28"/>
      <c r="AW64" s="28"/>
      <c r="AX64" s="28"/>
      <c r="AY64" s="28"/>
      <c r="AZ64" s="28"/>
      <c r="BA64" s="28"/>
      <c r="BB64" s="28"/>
      <c r="BC64" s="28"/>
      <c r="BD64" s="28"/>
      <c r="BE64" s="28"/>
      <c r="BF64" s="28"/>
      <c r="BG64" s="28"/>
      <c r="BH64" s="28"/>
      <c r="BI64" s="28"/>
      <c r="BJ64" s="28"/>
      <c r="BK64" s="28"/>
      <c r="BL64" s="28"/>
      <c r="BM64" s="28"/>
      <c r="BN64" s="28"/>
    </row>
    <row r="65" spans="1:66" s="29" customFormat="1" ht="17.399999999999999" hidden="1" x14ac:dyDescent="0.25">
      <c r="A65" s="88" t="str">
        <f t="shared" ref="A65:A69" si="32">IF(ISERROR(VALUE(SUBSTITUTE(prevWBS,".",""))),"0.1",IF(ISERROR(FIND("`",SUBSTITUTE(prevWBS,".","`",1))),prevWBS&amp;".1",LEFT(prevWBS,FIND("`",SUBSTITUTE(prevWBS,".","`",1)))&amp;IF(ISERROR(FIND("`",SUBSTITUTE(prevWBS,".","`",2))),VALUE(RIGHT(prevWBS,LEN(prevWBS)-FIND("`",SUBSTITUTE(prevWBS,".","`",1))))+1,VALUE(MID(prevWBS,FIND("`",SUBSTITUTE(prevWBS,".","`",1))+1,(FIND("`",SUBSTITUTE(prevWBS,".","`",2))-FIND("`",SUBSTITUTE(prevWBS,".","`",1))-1)))+1)))</f>
        <v>7.8</v>
      </c>
      <c r="B65" s="89" t="s">
        <v>20</v>
      </c>
      <c r="C65" s="81"/>
      <c r="D65" s="90"/>
      <c r="E65" s="91">
        <v>45728</v>
      </c>
      <c r="F65" s="96">
        <f t="shared" ref="F65:F69" si="33">IF(ISBLANK(E65)," - ",IF(G65=0,E65,E65+G65-1))</f>
        <v>45739</v>
      </c>
      <c r="G65" s="92">
        <v>12</v>
      </c>
      <c r="H65" s="93">
        <v>0</v>
      </c>
      <c r="I65" s="94">
        <f t="shared" ref="I65:I84" si="34">IF(OR(F65=0,E65=0)," - ",NETWORKDAYS(E65,F65))</f>
        <v>8</v>
      </c>
      <c r="J65" s="36"/>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c r="AN65" s="28"/>
      <c r="AO65" s="28"/>
      <c r="AP65" s="28"/>
      <c r="AQ65" s="28"/>
      <c r="AR65" s="28"/>
      <c r="AS65" s="28"/>
      <c r="AT65" s="28"/>
      <c r="AU65" s="28"/>
      <c r="AV65" s="28"/>
      <c r="AW65" s="28"/>
      <c r="AX65" s="28"/>
      <c r="AY65" s="28"/>
      <c r="AZ65" s="28"/>
      <c r="BA65" s="28"/>
      <c r="BB65" s="28"/>
      <c r="BC65" s="28"/>
      <c r="BD65" s="28"/>
      <c r="BE65" s="28"/>
      <c r="BF65" s="28"/>
      <c r="BG65" s="28"/>
      <c r="BH65" s="28"/>
      <c r="BI65" s="28"/>
      <c r="BJ65" s="28"/>
      <c r="BK65" s="28"/>
      <c r="BL65" s="28"/>
      <c r="BM65" s="28"/>
      <c r="BN65" s="28"/>
    </row>
    <row r="66" spans="1:66" s="29" customFormat="1" ht="17.399999999999999" hidden="1" x14ac:dyDescent="0.25">
      <c r="A66" s="88" t="str">
        <f t="shared" si="32"/>
        <v>7.9</v>
      </c>
      <c r="B66" s="89" t="s">
        <v>20</v>
      </c>
      <c r="C66" s="81"/>
      <c r="D66" s="90"/>
      <c r="E66" s="91">
        <v>45728</v>
      </c>
      <c r="F66" s="96">
        <f t="shared" si="33"/>
        <v>45739</v>
      </c>
      <c r="G66" s="92">
        <v>12</v>
      </c>
      <c r="H66" s="93">
        <v>0</v>
      </c>
      <c r="I66" s="94">
        <f t="shared" si="34"/>
        <v>8</v>
      </c>
      <c r="J66" s="36"/>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c r="AV66" s="28"/>
      <c r="AW66" s="28"/>
      <c r="AX66" s="28"/>
      <c r="AY66" s="28"/>
      <c r="AZ66" s="28"/>
      <c r="BA66" s="28"/>
      <c r="BB66" s="28"/>
      <c r="BC66" s="28"/>
      <c r="BD66" s="28"/>
      <c r="BE66" s="28"/>
      <c r="BF66" s="28"/>
      <c r="BG66" s="28"/>
      <c r="BH66" s="28"/>
      <c r="BI66" s="28"/>
      <c r="BJ66" s="28"/>
      <c r="BK66" s="28"/>
      <c r="BL66" s="28"/>
      <c r="BM66" s="28"/>
      <c r="BN66" s="28"/>
    </row>
    <row r="67" spans="1:66" s="29" customFormat="1" ht="17.399999999999999" hidden="1" x14ac:dyDescent="0.25">
      <c r="A67" s="88" t="str">
        <f t="shared" si="32"/>
        <v>7.10</v>
      </c>
      <c r="B67" s="89" t="s">
        <v>20</v>
      </c>
      <c r="C67" s="81"/>
      <c r="D67" s="90"/>
      <c r="E67" s="91">
        <v>45728</v>
      </c>
      <c r="F67" s="96">
        <f t="shared" si="33"/>
        <v>45739</v>
      </c>
      <c r="G67" s="92">
        <v>12</v>
      </c>
      <c r="H67" s="93">
        <v>0</v>
      </c>
      <c r="I67" s="94">
        <f t="shared" si="34"/>
        <v>8</v>
      </c>
      <c r="J67" s="36"/>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c r="AV67" s="28"/>
      <c r="AW67" s="28"/>
      <c r="AX67" s="28"/>
      <c r="AY67" s="28"/>
      <c r="AZ67" s="28"/>
      <c r="BA67" s="28"/>
      <c r="BB67" s="28"/>
      <c r="BC67" s="28"/>
      <c r="BD67" s="28"/>
      <c r="BE67" s="28"/>
      <c r="BF67" s="28"/>
      <c r="BG67" s="28"/>
      <c r="BH67" s="28"/>
      <c r="BI67" s="28"/>
      <c r="BJ67" s="28"/>
      <c r="BK67" s="28"/>
      <c r="BL67" s="28"/>
      <c r="BM67" s="28"/>
      <c r="BN67" s="28"/>
    </row>
    <row r="68" spans="1:66" s="29" customFormat="1" ht="17.399999999999999" hidden="1" x14ac:dyDescent="0.25">
      <c r="A68" s="88" t="str">
        <f t="shared" si="32"/>
        <v>7.11</v>
      </c>
      <c r="B68" s="89" t="s">
        <v>20</v>
      </c>
      <c r="C68" s="81"/>
      <c r="D68" s="90"/>
      <c r="E68" s="91">
        <v>45728</v>
      </c>
      <c r="F68" s="96">
        <f t="shared" si="33"/>
        <v>45739</v>
      </c>
      <c r="G68" s="92">
        <v>12</v>
      </c>
      <c r="H68" s="93">
        <v>0</v>
      </c>
      <c r="I68" s="94">
        <f t="shared" si="34"/>
        <v>8</v>
      </c>
      <c r="J68" s="36"/>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28"/>
      <c r="AW68" s="28"/>
      <c r="AX68" s="28"/>
      <c r="AY68" s="28"/>
      <c r="AZ68" s="28"/>
      <c r="BA68" s="28"/>
      <c r="BB68" s="28"/>
      <c r="BC68" s="28"/>
      <c r="BD68" s="28"/>
      <c r="BE68" s="28"/>
      <c r="BF68" s="28"/>
      <c r="BG68" s="28"/>
      <c r="BH68" s="28"/>
      <c r="BI68" s="28"/>
      <c r="BJ68" s="28"/>
      <c r="BK68" s="28"/>
      <c r="BL68" s="28"/>
      <c r="BM68" s="28"/>
      <c r="BN68" s="28"/>
    </row>
    <row r="69" spans="1:66" s="30" customFormat="1" ht="17.399999999999999" hidden="1" x14ac:dyDescent="0.25">
      <c r="A69" s="88" t="str">
        <f t="shared" si="32"/>
        <v>7.12</v>
      </c>
      <c r="B69" s="89" t="s">
        <v>20</v>
      </c>
      <c r="C69" s="81"/>
      <c r="D69" s="90"/>
      <c r="E69" s="91">
        <v>45728</v>
      </c>
      <c r="F69" s="96">
        <f t="shared" si="33"/>
        <v>45780</v>
      </c>
      <c r="G69" s="92">
        <v>53</v>
      </c>
      <c r="H69" s="93">
        <v>0</v>
      </c>
      <c r="I69" s="94">
        <f t="shared" si="34"/>
        <v>38</v>
      </c>
      <c r="J69" s="3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8"/>
      <c r="AN69" s="28"/>
      <c r="AO69" s="28"/>
      <c r="AP69" s="28"/>
      <c r="AQ69" s="28"/>
      <c r="AR69" s="28"/>
      <c r="AS69" s="28"/>
      <c r="AT69" s="28"/>
      <c r="AU69" s="28"/>
      <c r="AV69" s="28"/>
      <c r="AW69" s="28"/>
      <c r="AX69" s="28"/>
      <c r="AY69" s="28"/>
      <c r="AZ69" s="28"/>
      <c r="BA69" s="28"/>
      <c r="BB69" s="28"/>
      <c r="BC69" s="28"/>
      <c r="BD69" s="28"/>
      <c r="BE69" s="28"/>
      <c r="BF69" s="28"/>
      <c r="BG69" s="28"/>
      <c r="BH69" s="28"/>
      <c r="BI69" s="28"/>
      <c r="BJ69" s="28"/>
      <c r="BK69" s="28"/>
      <c r="BL69" s="28"/>
      <c r="BM69" s="28"/>
      <c r="BN69" s="28"/>
    </row>
    <row r="70" spans="1:66" s="27" customFormat="1" ht="17.399999999999999" hidden="1" x14ac:dyDescent="0.25">
      <c r="A70" s="82" t="str">
        <f>IF(ISERROR(VALUE(SUBSTITUTE(prevWBS,".",""))),"1",IF(ISERROR(FIND("`",SUBSTITUTE(prevWBS,".","`",1))),TEXT(VALUE(prevWBS)+1,"#"),TEXT(VALUE(LEFT(prevWBS,FIND("`",SUBSTITUTE(prevWBS,".","`",1))-1))+1,"#")))</f>
        <v>8</v>
      </c>
      <c r="B70" s="83"/>
      <c r="C70" s="80"/>
      <c r="D70" s="84"/>
      <c r="E70" s="85"/>
      <c r="F70" s="85" t="str">
        <f t="shared" ref="F70:F84" si="35">IF(ISBLANK(E70)," - ",IF(G70=0,E70,E70+G70-1))</f>
        <v xml:space="preserve"> - </v>
      </c>
      <c r="G70" s="86"/>
      <c r="H70" s="87"/>
      <c r="I70" s="94" t="str">
        <f t="shared" si="34"/>
        <v xml:space="preserve"> - </v>
      </c>
      <c r="J70" s="37"/>
      <c r="K70" s="41"/>
      <c r="L70" s="41"/>
      <c r="M70" s="41"/>
      <c r="N70" s="41"/>
      <c r="O70" s="41"/>
      <c r="P70" s="41"/>
      <c r="Q70" s="41"/>
      <c r="R70" s="41"/>
      <c r="S70" s="41"/>
      <c r="T70" s="41"/>
      <c r="U70" s="41"/>
      <c r="V70" s="41"/>
      <c r="W70" s="41"/>
      <c r="X70" s="41"/>
      <c r="Y70" s="41"/>
      <c r="Z70" s="41"/>
      <c r="AA70" s="41"/>
      <c r="AB70" s="41"/>
      <c r="AC70" s="41"/>
      <c r="AD70" s="41"/>
      <c r="AE70" s="41"/>
      <c r="AF70" s="41"/>
      <c r="AG70" s="41"/>
      <c r="AH70" s="41"/>
      <c r="AI70" s="41"/>
      <c r="AJ70" s="41"/>
      <c r="AK70" s="41"/>
      <c r="AL70" s="41"/>
      <c r="AM70" s="41"/>
      <c r="AN70" s="41"/>
      <c r="AO70" s="41"/>
      <c r="AP70" s="41"/>
      <c r="AQ70" s="41"/>
      <c r="AR70" s="41"/>
      <c r="AS70" s="41"/>
      <c r="AT70" s="41"/>
      <c r="AU70" s="41"/>
      <c r="AV70" s="41"/>
      <c r="AW70" s="41"/>
      <c r="AX70" s="41"/>
      <c r="AY70" s="41"/>
      <c r="AZ70" s="41"/>
      <c r="BA70" s="41"/>
      <c r="BB70" s="41"/>
      <c r="BC70" s="41"/>
      <c r="BD70" s="41"/>
      <c r="BE70" s="41"/>
      <c r="BF70" s="41"/>
      <c r="BG70" s="41"/>
      <c r="BH70" s="41"/>
      <c r="BI70" s="41"/>
      <c r="BJ70" s="41"/>
      <c r="BK70" s="41"/>
      <c r="BL70" s="41"/>
      <c r="BM70" s="41"/>
      <c r="BN70" s="41"/>
    </row>
    <row r="71" spans="1:66" s="29" customFormat="1" ht="17.399999999999999" hidden="1" x14ac:dyDescent="0.25">
      <c r="A71" s="88" t="str">
        <f t="shared" ref="A71:A80" si="36">IF(ISERROR(VALUE(SUBSTITUTE(prevWBS,".",""))),"0.1",IF(ISERROR(FIND("`",SUBSTITUTE(prevWBS,".","`",1))),prevWBS&amp;".1",LEFT(prevWBS,FIND("`",SUBSTITUTE(prevWBS,".","`",1)))&amp;IF(ISERROR(FIND("`",SUBSTITUTE(prevWBS,".","`",2))),VALUE(RIGHT(prevWBS,LEN(prevWBS)-FIND("`",SUBSTITUTE(prevWBS,".","`",1))))+1,VALUE(MID(prevWBS,FIND("`",SUBSTITUTE(prevWBS,".","`",1))+1,(FIND("`",SUBSTITUTE(prevWBS,".","`",2))-FIND("`",SUBSTITUTE(prevWBS,".","`",1))-1)))+1)))</f>
        <v>8.1</v>
      </c>
      <c r="B71" s="89" t="s">
        <v>20</v>
      </c>
      <c r="C71" s="81"/>
      <c r="D71" s="90"/>
      <c r="E71" s="91">
        <v>45728</v>
      </c>
      <c r="F71" s="97">
        <f t="shared" si="35"/>
        <v>45728</v>
      </c>
      <c r="G71" s="92">
        <v>1</v>
      </c>
      <c r="H71" s="93">
        <v>0</v>
      </c>
      <c r="I71" s="94">
        <f t="shared" si="34"/>
        <v>1</v>
      </c>
      <c r="J71" s="36"/>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28"/>
      <c r="AL71" s="28"/>
      <c r="AM71" s="28"/>
      <c r="AN71" s="28"/>
      <c r="AO71" s="28"/>
      <c r="AP71" s="28"/>
      <c r="AQ71" s="28"/>
      <c r="AR71" s="28"/>
      <c r="AS71" s="28"/>
      <c r="AT71" s="28"/>
      <c r="AU71" s="28"/>
      <c r="AV71" s="28"/>
      <c r="AW71" s="28"/>
      <c r="AX71" s="28"/>
      <c r="AY71" s="28"/>
      <c r="AZ71" s="28"/>
      <c r="BA71" s="28"/>
      <c r="BB71" s="28"/>
      <c r="BC71" s="28"/>
      <c r="BD71" s="28"/>
      <c r="BE71" s="28"/>
      <c r="BF71" s="28"/>
      <c r="BG71" s="28"/>
      <c r="BH71" s="28"/>
      <c r="BI71" s="28"/>
      <c r="BJ71" s="28"/>
      <c r="BK71" s="28"/>
      <c r="BL71" s="28"/>
      <c r="BM71" s="28"/>
      <c r="BN71" s="28"/>
    </row>
    <row r="72" spans="1:66" s="29" customFormat="1" ht="17.399999999999999" hidden="1" x14ac:dyDescent="0.25">
      <c r="A72" s="88" t="str">
        <f t="shared" si="36"/>
        <v>8.2</v>
      </c>
      <c r="B72" s="89" t="s">
        <v>20</v>
      </c>
      <c r="C72" s="81"/>
      <c r="D72" s="90"/>
      <c r="E72" s="91">
        <v>45728</v>
      </c>
      <c r="F72" s="97">
        <f t="shared" si="35"/>
        <v>45728</v>
      </c>
      <c r="G72" s="92">
        <v>1</v>
      </c>
      <c r="H72" s="93">
        <v>0</v>
      </c>
      <c r="I72" s="94">
        <f t="shared" si="34"/>
        <v>1</v>
      </c>
      <c r="J72" s="36"/>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28"/>
      <c r="BA72" s="28"/>
      <c r="BB72" s="28"/>
      <c r="BC72" s="28"/>
      <c r="BD72" s="28"/>
      <c r="BE72" s="28"/>
      <c r="BF72" s="28"/>
      <c r="BG72" s="28"/>
      <c r="BH72" s="28"/>
      <c r="BI72" s="28"/>
      <c r="BJ72" s="28"/>
      <c r="BK72" s="28"/>
      <c r="BL72" s="28"/>
      <c r="BM72" s="28"/>
      <c r="BN72" s="28"/>
    </row>
    <row r="73" spans="1:66" s="29" customFormat="1" ht="17.399999999999999" hidden="1" x14ac:dyDescent="0.25">
      <c r="A73" s="88" t="str">
        <f t="shared" si="36"/>
        <v>8.3</v>
      </c>
      <c r="B73" s="89" t="s">
        <v>20</v>
      </c>
      <c r="C73" s="81"/>
      <c r="D73" s="90"/>
      <c r="E73" s="91">
        <v>45728</v>
      </c>
      <c r="F73" s="97">
        <f t="shared" si="35"/>
        <v>45728</v>
      </c>
      <c r="G73" s="92">
        <v>1</v>
      </c>
      <c r="H73" s="93">
        <v>0</v>
      </c>
      <c r="I73" s="94">
        <f t="shared" si="34"/>
        <v>1</v>
      </c>
      <c r="J73" s="36"/>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28"/>
      <c r="AV73" s="28"/>
      <c r="AW73" s="28"/>
      <c r="AX73" s="28"/>
      <c r="AY73" s="28"/>
      <c r="AZ73" s="28"/>
      <c r="BA73" s="28"/>
      <c r="BB73" s="28"/>
      <c r="BC73" s="28"/>
      <c r="BD73" s="28"/>
      <c r="BE73" s="28"/>
      <c r="BF73" s="28"/>
      <c r="BG73" s="28"/>
      <c r="BH73" s="28"/>
      <c r="BI73" s="28"/>
      <c r="BJ73" s="28"/>
      <c r="BK73" s="28"/>
      <c r="BL73" s="28"/>
      <c r="BM73" s="28"/>
      <c r="BN73" s="28"/>
    </row>
    <row r="74" spans="1:66" s="29" customFormat="1" ht="17.399999999999999" hidden="1" x14ac:dyDescent="0.25">
      <c r="A74" s="88" t="str">
        <f t="shared" si="36"/>
        <v>8.4</v>
      </c>
      <c r="B74" s="89" t="s">
        <v>20</v>
      </c>
      <c r="C74" s="81"/>
      <c r="D74" s="90"/>
      <c r="E74" s="91">
        <v>45728</v>
      </c>
      <c r="F74" s="97">
        <f t="shared" si="35"/>
        <v>45728</v>
      </c>
      <c r="G74" s="92">
        <v>1</v>
      </c>
      <c r="H74" s="93">
        <v>0</v>
      </c>
      <c r="I74" s="94">
        <f t="shared" si="34"/>
        <v>1</v>
      </c>
      <c r="J74" s="36"/>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8"/>
      <c r="AW74" s="28"/>
      <c r="AX74" s="28"/>
      <c r="AY74" s="28"/>
      <c r="AZ74" s="28"/>
      <c r="BA74" s="28"/>
      <c r="BB74" s="28"/>
      <c r="BC74" s="28"/>
      <c r="BD74" s="28"/>
      <c r="BE74" s="28"/>
      <c r="BF74" s="28"/>
      <c r="BG74" s="28"/>
      <c r="BH74" s="28"/>
      <c r="BI74" s="28"/>
      <c r="BJ74" s="28"/>
      <c r="BK74" s="28"/>
      <c r="BL74" s="28"/>
      <c r="BM74" s="28"/>
      <c r="BN74" s="28"/>
    </row>
    <row r="75" spans="1:66" s="29" customFormat="1" ht="17.399999999999999" hidden="1" x14ac:dyDescent="0.25">
      <c r="A75" s="88" t="str">
        <f t="shared" si="36"/>
        <v>8.5</v>
      </c>
      <c r="B75" s="89" t="s">
        <v>20</v>
      </c>
      <c r="C75" s="81"/>
      <c r="D75" s="90"/>
      <c r="E75" s="91">
        <v>45728</v>
      </c>
      <c r="F75" s="97">
        <f t="shared" si="35"/>
        <v>45729</v>
      </c>
      <c r="G75" s="92">
        <v>2</v>
      </c>
      <c r="H75" s="93">
        <v>0</v>
      </c>
      <c r="I75" s="94">
        <f t="shared" si="34"/>
        <v>2</v>
      </c>
      <c r="J75" s="36"/>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8"/>
      <c r="AW75" s="28"/>
      <c r="AX75" s="28"/>
      <c r="AY75" s="28"/>
      <c r="AZ75" s="28"/>
      <c r="BA75" s="28"/>
      <c r="BB75" s="28"/>
      <c r="BC75" s="28"/>
      <c r="BD75" s="28"/>
      <c r="BE75" s="28"/>
      <c r="BF75" s="28"/>
      <c r="BG75" s="28"/>
      <c r="BH75" s="28"/>
      <c r="BI75" s="28"/>
      <c r="BJ75" s="28"/>
      <c r="BK75" s="28"/>
      <c r="BL75" s="28"/>
      <c r="BM75" s="28"/>
      <c r="BN75" s="28"/>
    </row>
    <row r="76" spans="1:66" s="30" customFormat="1" ht="17.399999999999999" hidden="1" x14ac:dyDescent="0.25">
      <c r="A76" s="88" t="str">
        <f t="shared" si="36"/>
        <v>8.6</v>
      </c>
      <c r="B76" s="89" t="s">
        <v>20</v>
      </c>
      <c r="C76" s="81"/>
      <c r="D76" s="90"/>
      <c r="E76" s="91">
        <v>45728</v>
      </c>
      <c r="F76" s="97">
        <f t="shared" si="35"/>
        <v>45729</v>
      </c>
      <c r="G76" s="92">
        <v>2</v>
      </c>
      <c r="H76" s="93">
        <v>0</v>
      </c>
      <c r="I76" s="94">
        <f t="shared" si="34"/>
        <v>2</v>
      </c>
      <c r="J76" s="3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c r="BE76" s="28"/>
      <c r="BF76" s="28"/>
      <c r="BG76" s="28"/>
      <c r="BH76" s="28"/>
      <c r="BI76" s="28"/>
      <c r="BJ76" s="28"/>
      <c r="BK76" s="28"/>
      <c r="BL76" s="28"/>
      <c r="BM76" s="28"/>
      <c r="BN76" s="28"/>
    </row>
    <row r="77" spans="1:66" s="30" customFormat="1" ht="17.399999999999999" hidden="1" x14ac:dyDescent="0.25">
      <c r="A77" s="88" t="str">
        <f t="shared" si="36"/>
        <v>8.7</v>
      </c>
      <c r="B77" s="89" t="s">
        <v>20</v>
      </c>
      <c r="C77" s="81"/>
      <c r="D77" s="90"/>
      <c r="E77" s="91">
        <v>45728</v>
      </c>
      <c r="F77" s="97">
        <f t="shared" si="35"/>
        <v>45729</v>
      </c>
      <c r="G77" s="92">
        <v>2</v>
      </c>
      <c r="H77" s="93">
        <v>0</v>
      </c>
      <c r="I77" s="94">
        <f t="shared" si="34"/>
        <v>2</v>
      </c>
      <c r="J77" s="3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8"/>
      <c r="AW77" s="28"/>
      <c r="AX77" s="28"/>
      <c r="AY77" s="28"/>
      <c r="AZ77" s="28"/>
      <c r="BA77" s="28"/>
      <c r="BB77" s="28"/>
      <c r="BC77" s="28"/>
      <c r="BD77" s="28"/>
      <c r="BE77" s="28"/>
      <c r="BF77" s="28"/>
      <c r="BG77" s="28"/>
      <c r="BH77" s="28"/>
      <c r="BI77" s="28"/>
      <c r="BJ77" s="28"/>
      <c r="BK77" s="28"/>
      <c r="BL77" s="28"/>
      <c r="BM77" s="28"/>
      <c r="BN77" s="28"/>
    </row>
    <row r="78" spans="1:66" s="31" customFormat="1" ht="17.399999999999999" hidden="1" x14ac:dyDescent="0.25">
      <c r="A78" s="88" t="str">
        <f t="shared" si="36"/>
        <v>8.8</v>
      </c>
      <c r="B78" s="89" t="s">
        <v>20</v>
      </c>
      <c r="C78" s="81"/>
      <c r="D78" s="90"/>
      <c r="E78" s="91">
        <v>45728</v>
      </c>
      <c r="F78" s="97">
        <f t="shared" si="35"/>
        <v>45728</v>
      </c>
      <c r="G78" s="92">
        <v>1</v>
      </c>
      <c r="H78" s="93">
        <v>0</v>
      </c>
      <c r="I78" s="94">
        <f t="shared" si="34"/>
        <v>1</v>
      </c>
      <c r="J78" s="73"/>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28"/>
      <c r="AW78" s="28"/>
      <c r="AX78" s="28"/>
      <c r="AY78" s="28"/>
      <c r="AZ78" s="28"/>
      <c r="BA78" s="28"/>
      <c r="BB78" s="28"/>
      <c r="BC78" s="28"/>
      <c r="BD78" s="28"/>
      <c r="BE78" s="28"/>
      <c r="BF78" s="28"/>
      <c r="BG78" s="28"/>
      <c r="BH78" s="28"/>
      <c r="BI78" s="28"/>
      <c r="BJ78" s="28"/>
      <c r="BK78" s="28"/>
      <c r="BL78" s="28"/>
      <c r="BM78" s="28"/>
      <c r="BN78" s="28"/>
    </row>
    <row r="79" spans="1:66" s="30" customFormat="1" ht="17.399999999999999" hidden="1" x14ac:dyDescent="0.25">
      <c r="A79" s="88" t="str">
        <f t="shared" si="36"/>
        <v>8.9</v>
      </c>
      <c r="C79" s="81"/>
      <c r="D79" s="90"/>
      <c r="E79" s="91">
        <v>45728</v>
      </c>
      <c r="F79" s="97">
        <f t="shared" si="35"/>
        <v>45728</v>
      </c>
      <c r="G79" s="92">
        <v>1</v>
      </c>
      <c r="H79" s="93">
        <v>0</v>
      </c>
      <c r="I79" s="94">
        <f t="shared" si="34"/>
        <v>1</v>
      </c>
      <c r="J79" s="74"/>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c r="AL79" s="28"/>
      <c r="AM79" s="28"/>
      <c r="AN79" s="28"/>
      <c r="AO79" s="28"/>
      <c r="AP79" s="28"/>
      <c r="AQ79" s="28"/>
      <c r="AR79" s="28"/>
      <c r="AS79" s="28"/>
      <c r="AT79" s="28"/>
      <c r="AU79" s="28"/>
      <c r="AV79" s="28"/>
      <c r="AW79" s="28"/>
      <c r="AX79" s="28"/>
      <c r="AY79" s="28"/>
      <c r="AZ79" s="28"/>
      <c r="BA79" s="28"/>
      <c r="BB79" s="28"/>
      <c r="BC79" s="28"/>
      <c r="BD79" s="28"/>
      <c r="BE79" s="28"/>
      <c r="BF79" s="28"/>
      <c r="BG79" s="28"/>
      <c r="BH79" s="28"/>
      <c r="BI79" s="28"/>
      <c r="BJ79" s="28"/>
      <c r="BK79" s="28"/>
      <c r="BL79" s="28"/>
      <c r="BM79" s="28"/>
      <c r="BN79" s="28"/>
    </row>
    <row r="80" spans="1:66" s="31" customFormat="1" ht="17.399999999999999" hidden="1" x14ac:dyDescent="0.25">
      <c r="A80" s="88" t="str">
        <f t="shared" si="36"/>
        <v>8.10</v>
      </c>
      <c r="B80" s="89"/>
      <c r="C80" s="81"/>
      <c r="D80" s="90"/>
      <c r="E80" s="91">
        <v>45728</v>
      </c>
      <c r="F80" s="97">
        <f t="shared" si="35"/>
        <v>45728</v>
      </c>
      <c r="G80" s="92">
        <v>1</v>
      </c>
      <c r="H80" s="93">
        <v>0</v>
      </c>
      <c r="I80" s="94">
        <f t="shared" si="34"/>
        <v>1</v>
      </c>
      <c r="J80" s="73"/>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8"/>
      <c r="BL80" s="28"/>
      <c r="BM80" s="28"/>
      <c r="BN80" s="28"/>
    </row>
    <row r="81" spans="1:66" s="27" customFormat="1" ht="17.399999999999999" hidden="1" x14ac:dyDescent="0.25">
      <c r="A81" s="82" t="str">
        <f>IF(ISERROR(VALUE(SUBSTITUTE(prevWBS,".",""))),"1",IF(ISERROR(FIND("`",SUBSTITUTE(prevWBS,".","`",1))),TEXT(VALUE(prevWBS)+1,"#"),TEXT(VALUE(LEFT(prevWBS,FIND("`",SUBSTITUTE(prevWBS,".","`",1))-1))+1,"#")))</f>
        <v>9</v>
      </c>
      <c r="B81" s="83"/>
      <c r="C81" s="80"/>
      <c r="D81" s="84"/>
      <c r="E81" s="85"/>
      <c r="F81" s="85" t="str">
        <f t="shared" si="35"/>
        <v xml:space="preserve"> - </v>
      </c>
      <c r="G81" s="86"/>
      <c r="H81" s="87"/>
      <c r="I81" s="94" t="str">
        <f t="shared" si="34"/>
        <v xml:space="preserve"> - </v>
      </c>
      <c r="J81" s="37"/>
      <c r="K81" s="41"/>
      <c r="L81" s="41"/>
      <c r="M81" s="41"/>
      <c r="N81" s="41"/>
      <c r="O81" s="41"/>
      <c r="P81" s="41"/>
      <c r="Q81" s="41"/>
      <c r="R81" s="41"/>
      <c r="S81" s="41"/>
      <c r="T81" s="41"/>
      <c r="U81" s="41"/>
      <c r="V81" s="41"/>
      <c r="W81" s="41"/>
      <c r="X81" s="41"/>
      <c r="Y81" s="41"/>
      <c r="Z81" s="41"/>
      <c r="AA81" s="41"/>
      <c r="AB81" s="41"/>
      <c r="AC81" s="41"/>
      <c r="AD81" s="41"/>
      <c r="AE81" s="41"/>
      <c r="AF81" s="41"/>
      <c r="AG81" s="41"/>
      <c r="AH81" s="41"/>
      <c r="AI81" s="41"/>
      <c r="AJ81" s="41"/>
      <c r="AK81" s="41"/>
      <c r="AL81" s="41"/>
      <c r="AM81" s="41"/>
      <c r="AN81" s="41"/>
      <c r="AO81" s="41"/>
      <c r="AP81" s="41"/>
      <c r="AQ81" s="41"/>
      <c r="AR81" s="41"/>
      <c r="AS81" s="41"/>
      <c r="AT81" s="41"/>
      <c r="AU81" s="41"/>
      <c r="AV81" s="41"/>
      <c r="AW81" s="41"/>
      <c r="AX81" s="41"/>
      <c r="AY81" s="41"/>
      <c r="AZ81" s="41"/>
      <c r="BA81" s="41"/>
      <c r="BB81" s="41"/>
      <c r="BC81" s="41"/>
      <c r="BD81" s="41"/>
      <c r="BE81" s="41"/>
      <c r="BF81" s="41"/>
      <c r="BG81" s="41"/>
      <c r="BH81" s="41"/>
      <c r="BI81" s="41"/>
      <c r="BJ81" s="41"/>
      <c r="BK81" s="41"/>
      <c r="BL81" s="41"/>
      <c r="BM81" s="41"/>
      <c r="BN81" s="41"/>
    </row>
    <row r="82" spans="1:66" s="29" customFormat="1" ht="17.399999999999999" hidden="1" x14ac:dyDescent="0.25">
      <c r="A82" s="88"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9.1</v>
      </c>
      <c r="B82" s="89"/>
      <c r="C82" s="81"/>
      <c r="D82" s="90"/>
      <c r="E82" s="91">
        <v>45728</v>
      </c>
      <c r="F82" s="96">
        <f t="shared" si="35"/>
        <v>45732</v>
      </c>
      <c r="G82" s="92">
        <v>5</v>
      </c>
      <c r="H82" s="93">
        <v>0</v>
      </c>
      <c r="I82" s="94">
        <f t="shared" si="34"/>
        <v>3</v>
      </c>
      <c r="J82" s="36"/>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8"/>
      <c r="BL82" s="28"/>
      <c r="BM82" s="28"/>
      <c r="BN82" s="28"/>
    </row>
    <row r="83" spans="1:66" s="27" customFormat="1" ht="17.399999999999999" hidden="1" x14ac:dyDescent="0.25">
      <c r="A83" s="82" t="str">
        <f>IF(ISERROR(VALUE(SUBSTITUTE(prevWBS,".",""))),"1",IF(ISERROR(FIND("`",SUBSTITUTE(prevWBS,".","`",1))),TEXT(VALUE(prevWBS)+1,"#"),TEXT(VALUE(LEFT(prevWBS,FIND("`",SUBSTITUTE(prevWBS,".","`",1))-1))+1,"#")))</f>
        <v>10</v>
      </c>
      <c r="B83" s="83"/>
      <c r="C83" s="80"/>
      <c r="D83" s="84"/>
      <c r="E83" s="85"/>
      <c r="F83" s="85" t="str">
        <f t="shared" si="35"/>
        <v xml:space="preserve"> - </v>
      </c>
      <c r="G83" s="86"/>
      <c r="H83" s="87"/>
      <c r="I83" s="94" t="str">
        <f t="shared" si="34"/>
        <v xml:space="preserve"> - </v>
      </c>
      <c r="J83" s="37"/>
      <c r="K83" s="41"/>
      <c r="L83" s="41"/>
      <c r="M83" s="41"/>
      <c r="N83" s="41"/>
      <c r="O83" s="41"/>
      <c r="P83" s="41"/>
      <c r="Q83" s="41"/>
      <c r="R83" s="41"/>
      <c r="S83" s="41"/>
      <c r="T83" s="41"/>
      <c r="U83" s="41"/>
      <c r="V83" s="41"/>
      <c r="W83" s="41"/>
      <c r="X83" s="41"/>
      <c r="Y83" s="41"/>
      <c r="Z83" s="41"/>
      <c r="AA83" s="41"/>
      <c r="AB83" s="41"/>
      <c r="AC83" s="41"/>
      <c r="AD83" s="41"/>
      <c r="AE83" s="41"/>
      <c r="AF83" s="41"/>
      <c r="AG83" s="41"/>
      <c r="AH83" s="41"/>
      <c r="AI83" s="41"/>
      <c r="AJ83" s="41"/>
      <c r="AK83" s="41"/>
      <c r="AL83" s="41"/>
      <c r="AM83" s="41"/>
      <c r="AN83" s="41"/>
      <c r="AO83" s="41"/>
      <c r="AP83" s="41"/>
      <c r="AQ83" s="41"/>
      <c r="AR83" s="41"/>
      <c r="AS83" s="41"/>
      <c r="AT83" s="41"/>
      <c r="AU83" s="41"/>
      <c r="AV83" s="41"/>
      <c r="AW83" s="41"/>
      <c r="AX83" s="41"/>
      <c r="AY83" s="41"/>
      <c r="AZ83" s="41"/>
      <c r="BA83" s="41"/>
      <c r="BB83" s="41"/>
      <c r="BC83" s="41"/>
      <c r="BD83" s="41"/>
      <c r="BE83" s="41"/>
      <c r="BF83" s="41"/>
      <c r="BG83" s="41"/>
      <c r="BH83" s="41"/>
      <c r="BI83" s="41"/>
      <c r="BJ83" s="41"/>
      <c r="BK83" s="41"/>
      <c r="BL83" s="41"/>
      <c r="BM83" s="41"/>
      <c r="BN83" s="41"/>
    </row>
    <row r="84" spans="1:66" s="29" customFormat="1" ht="17.399999999999999" hidden="1" x14ac:dyDescent="0.25">
      <c r="A84" s="88"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10.1</v>
      </c>
      <c r="B84" s="89"/>
      <c r="C84" s="81"/>
      <c r="D84" s="90"/>
      <c r="E84" s="91">
        <v>45728</v>
      </c>
      <c r="F84" s="96">
        <f t="shared" si="35"/>
        <v>45732</v>
      </c>
      <c r="G84" s="92">
        <v>5</v>
      </c>
      <c r="H84" s="93">
        <v>0</v>
      </c>
      <c r="I84" s="94">
        <f t="shared" si="34"/>
        <v>3</v>
      </c>
      <c r="J84" s="36"/>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c r="AL84" s="28"/>
      <c r="AM84" s="28"/>
      <c r="AN84" s="28"/>
      <c r="AO84" s="28"/>
      <c r="AP84" s="28"/>
      <c r="AQ84" s="28"/>
      <c r="AR84" s="28"/>
      <c r="AS84" s="28"/>
      <c r="AT84" s="28"/>
      <c r="AU84" s="28"/>
      <c r="AV84" s="28"/>
      <c r="AW84" s="28"/>
      <c r="AX84" s="28"/>
      <c r="AY84" s="28"/>
      <c r="AZ84" s="28"/>
      <c r="BA84" s="28"/>
      <c r="BB84" s="28"/>
      <c r="BC84" s="28"/>
      <c r="BD84" s="28"/>
      <c r="BE84" s="28"/>
      <c r="BF84" s="28"/>
      <c r="BG84" s="28"/>
      <c r="BH84" s="28"/>
      <c r="BI84" s="28"/>
      <c r="BJ84" s="28"/>
      <c r="BK84" s="28"/>
      <c r="BL84" s="28"/>
      <c r="BM84" s="28"/>
      <c r="BN84" s="28"/>
    </row>
    <row r="85" spans="1:66" s="29" customFormat="1" ht="17.399999999999999" hidden="1" x14ac:dyDescent="0.25">
      <c r="A85" s="88"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10.2</v>
      </c>
      <c r="B85" s="89"/>
      <c r="C85" s="81"/>
      <c r="D85" s="90"/>
      <c r="E85" s="91">
        <v>45728</v>
      </c>
      <c r="F85" s="96">
        <f>IF(ISBLANK(E85)," - ",IF(G85=0,E85,E85+G85-1))</f>
        <v>45732</v>
      </c>
      <c r="G85" s="92">
        <v>5</v>
      </c>
      <c r="H85" s="93">
        <v>0</v>
      </c>
      <c r="I85" s="94">
        <f>IF(OR(F85=0,E85=0)," - ",NETWORKDAYS(E85,F85))</f>
        <v>3</v>
      </c>
      <c r="J85" s="36"/>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c r="AL85" s="28"/>
      <c r="AM85" s="28"/>
      <c r="AN85" s="28"/>
      <c r="AO85" s="28"/>
      <c r="AP85" s="28"/>
      <c r="AQ85" s="28"/>
      <c r="AR85" s="28"/>
      <c r="AS85" s="28"/>
      <c r="AT85" s="28"/>
      <c r="AU85" s="28"/>
      <c r="AV85" s="28"/>
      <c r="AW85" s="28"/>
      <c r="AX85" s="28"/>
      <c r="AY85" s="28"/>
      <c r="AZ85" s="28"/>
      <c r="BA85" s="28"/>
      <c r="BB85" s="28"/>
      <c r="BC85" s="28"/>
      <c r="BD85" s="28"/>
      <c r="BE85" s="28"/>
      <c r="BF85" s="28"/>
      <c r="BG85" s="28"/>
      <c r="BH85" s="28"/>
      <c r="BI85" s="28"/>
      <c r="BJ85" s="28"/>
      <c r="BK85" s="28"/>
      <c r="BL85" s="28"/>
      <c r="BM85" s="28"/>
      <c r="BN85" s="28"/>
    </row>
    <row r="92" spans="1:66" x14ac:dyDescent="0.25">
      <c r="A92" s="121"/>
      <c r="B92" s="1"/>
    </row>
    <row r="93" spans="1:66" x14ac:dyDescent="0.25">
      <c r="A93" s="121"/>
      <c r="B93" s="1"/>
    </row>
    <row r="94" spans="1:66" x14ac:dyDescent="0.25">
      <c r="A94" s="121"/>
      <c r="B94" s="1"/>
    </row>
    <row r="96" spans="1:66" x14ac:dyDescent="0.25">
      <c r="A96" s="121"/>
      <c r="B96" s="1"/>
    </row>
  </sheetData>
  <sheetProtection formatCells="0" formatColumns="0" formatRows="0" insertRows="0" deleteRows="0"/>
  <sortState xmlns:xlrd2="http://schemas.microsoft.com/office/spreadsheetml/2017/richdata2" ref="E16:E25">
    <sortCondition ref="E16:E25"/>
  </sortState>
  <mergeCells count="21">
    <mergeCell ref="R4:X4"/>
    <mergeCell ref="K4:Q4"/>
    <mergeCell ref="C4:E4"/>
    <mergeCell ref="R5:X5"/>
    <mergeCell ref="K5:Q5"/>
    <mergeCell ref="A1:P1"/>
    <mergeCell ref="B2:I2"/>
    <mergeCell ref="BH4:BN4"/>
    <mergeCell ref="BH5:BN5"/>
    <mergeCell ref="AM5:AS5"/>
    <mergeCell ref="AT4:AZ4"/>
    <mergeCell ref="AT5:AZ5"/>
    <mergeCell ref="AM4:AS4"/>
    <mergeCell ref="BA4:BG4"/>
    <mergeCell ref="BA5:BG5"/>
    <mergeCell ref="Y4:AE4"/>
    <mergeCell ref="Y5:AE5"/>
    <mergeCell ref="F4:G4"/>
    <mergeCell ref="AF4:AL4"/>
    <mergeCell ref="AF5:AL5"/>
    <mergeCell ref="C5:E5"/>
  </mergeCells>
  <phoneticPr fontId="3" type="noConversion"/>
  <conditionalFormatting sqref="H35">
    <cfRule type="dataBar" priority="50">
      <dataBar>
        <cfvo type="num" val="0"/>
        <cfvo type="num" val="1"/>
        <color theme="0" tint="-0.34998626667073579"/>
      </dataBar>
      <extLst>
        <ext xmlns:x14="http://schemas.microsoft.com/office/spreadsheetml/2009/9/main" uri="{B025F937-C7B1-47D3-B67F-A62EFF666E3E}">
          <x14:id>{A2D7181F-914C-4137-A5BF-1ED602A287A4}</x14:id>
        </ext>
      </extLst>
    </cfRule>
  </conditionalFormatting>
  <conditionalFormatting sqref="H36">
    <cfRule type="dataBar" priority="49">
      <dataBar>
        <cfvo type="num" val="0"/>
        <cfvo type="num" val="1"/>
        <color theme="0" tint="-0.34998626667073579"/>
      </dataBar>
      <extLst>
        <ext xmlns:x14="http://schemas.microsoft.com/office/spreadsheetml/2009/9/main" uri="{B025F937-C7B1-47D3-B67F-A62EFF666E3E}">
          <x14:id>{E8FB334F-04B2-4389-9055-61B3366570E6}</x14:id>
        </ext>
      </extLst>
    </cfRule>
  </conditionalFormatting>
  <conditionalFormatting sqref="H37:H68 H8:H34">
    <cfRule type="dataBar" priority="51">
      <dataBar>
        <cfvo type="num" val="0"/>
        <cfvo type="num" val="1"/>
        <color theme="0" tint="-0.34998626667073579"/>
      </dataBar>
      <extLst>
        <ext xmlns:x14="http://schemas.microsoft.com/office/spreadsheetml/2009/9/main" uri="{B025F937-C7B1-47D3-B67F-A62EFF666E3E}">
          <x14:id>{B301C857-F795-4587-83F4-F0EB06DE95F3}</x14:id>
        </ext>
      </extLst>
    </cfRule>
  </conditionalFormatting>
  <conditionalFormatting sqref="H69">
    <cfRule type="dataBar" priority="29">
      <dataBar>
        <cfvo type="num" val="0"/>
        <cfvo type="num" val="1"/>
        <color theme="0" tint="-0.34998626667073579"/>
      </dataBar>
      <extLst>
        <ext xmlns:x14="http://schemas.microsoft.com/office/spreadsheetml/2009/9/main" uri="{B025F937-C7B1-47D3-B67F-A62EFF666E3E}">
          <x14:id>{BA08E7F6-0238-4F3A-BA3D-DD7DE38FB686}</x14:id>
        </ext>
      </extLst>
    </cfRule>
  </conditionalFormatting>
  <conditionalFormatting sqref="H70:H75">
    <cfRule type="dataBar" priority="23">
      <dataBar>
        <cfvo type="num" val="0"/>
        <cfvo type="num" val="1"/>
        <color theme="0" tint="-0.34998626667073579"/>
      </dataBar>
      <extLst>
        <ext xmlns:x14="http://schemas.microsoft.com/office/spreadsheetml/2009/9/main" uri="{B025F937-C7B1-47D3-B67F-A62EFF666E3E}">
          <x14:id>{BAE864F0-785B-405C-B3A9-7B39C0D40212}</x14:id>
        </ext>
      </extLst>
    </cfRule>
  </conditionalFormatting>
  <conditionalFormatting sqref="H76">
    <cfRule type="dataBar" priority="22">
      <dataBar>
        <cfvo type="num" val="0"/>
        <cfvo type="num" val="1"/>
        <color theme="0" tint="-0.34998626667073579"/>
      </dataBar>
      <extLst>
        <ext xmlns:x14="http://schemas.microsoft.com/office/spreadsheetml/2009/9/main" uri="{B025F937-C7B1-47D3-B67F-A62EFF666E3E}">
          <x14:id>{FB036B42-152B-423A-BF5D-E2155FA56777}</x14:id>
        </ext>
      </extLst>
    </cfRule>
  </conditionalFormatting>
  <conditionalFormatting sqref="H77">
    <cfRule type="dataBar" priority="21">
      <dataBar>
        <cfvo type="num" val="0"/>
        <cfvo type="num" val="1"/>
        <color theme="0" tint="-0.34998626667073579"/>
      </dataBar>
      <extLst>
        <ext xmlns:x14="http://schemas.microsoft.com/office/spreadsheetml/2009/9/main" uri="{B025F937-C7B1-47D3-B67F-A62EFF666E3E}">
          <x14:id>{DCA2DF6B-B4FF-4BBB-A0C7-9EC56EDBD4C0}</x14:id>
        </ext>
      </extLst>
    </cfRule>
  </conditionalFormatting>
  <conditionalFormatting sqref="H78">
    <cfRule type="dataBar" priority="20">
      <dataBar>
        <cfvo type="num" val="0"/>
        <cfvo type="num" val="1"/>
        <color theme="0" tint="-0.34998626667073579"/>
      </dataBar>
      <extLst>
        <ext xmlns:x14="http://schemas.microsoft.com/office/spreadsheetml/2009/9/main" uri="{B025F937-C7B1-47D3-B67F-A62EFF666E3E}">
          <x14:id>{290FABD9-FEB8-4675-9D6F-66656E83319F}</x14:id>
        </ext>
      </extLst>
    </cfRule>
  </conditionalFormatting>
  <conditionalFormatting sqref="H79">
    <cfRule type="dataBar" priority="2">
      <dataBar>
        <cfvo type="num" val="0"/>
        <cfvo type="num" val="1"/>
        <color theme="0" tint="-0.34998626667073579"/>
      </dataBar>
      <extLst>
        <ext xmlns:x14="http://schemas.microsoft.com/office/spreadsheetml/2009/9/main" uri="{B025F937-C7B1-47D3-B67F-A62EFF666E3E}">
          <x14:id>{A6D80B09-F70D-41D2-A494-C0872FB59A4A}</x14:id>
        </ext>
      </extLst>
    </cfRule>
  </conditionalFormatting>
  <conditionalFormatting sqref="H80">
    <cfRule type="dataBar" priority="1">
      <dataBar>
        <cfvo type="num" val="0"/>
        <cfvo type="num" val="1"/>
        <color theme="0" tint="-0.34998626667073579"/>
      </dataBar>
      <extLst>
        <ext xmlns:x14="http://schemas.microsoft.com/office/spreadsheetml/2009/9/main" uri="{B025F937-C7B1-47D3-B67F-A62EFF666E3E}">
          <x14:id>{6AB60CA2-DFCE-4899-929C-88299506E873}</x14:id>
        </ext>
      </extLst>
    </cfRule>
  </conditionalFormatting>
  <conditionalFormatting sqref="H81:H82">
    <cfRule type="dataBar" priority="16">
      <dataBar>
        <cfvo type="num" val="0"/>
        <cfvo type="num" val="1"/>
        <color theme="0" tint="-0.34998626667073579"/>
      </dataBar>
      <extLst>
        <ext xmlns:x14="http://schemas.microsoft.com/office/spreadsheetml/2009/9/main" uri="{B025F937-C7B1-47D3-B67F-A62EFF666E3E}">
          <x14:id>{BBC8D0D8-4693-4517-8AAD-6CF486F978BF}</x14:id>
        </ext>
      </extLst>
    </cfRule>
  </conditionalFormatting>
  <conditionalFormatting sqref="H83:H85">
    <cfRule type="dataBar" priority="9">
      <dataBar>
        <cfvo type="num" val="0"/>
        <cfvo type="num" val="1"/>
        <color theme="0" tint="-0.34998626667073579"/>
      </dataBar>
      <extLst>
        <ext xmlns:x14="http://schemas.microsoft.com/office/spreadsheetml/2009/9/main" uri="{B025F937-C7B1-47D3-B67F-A62EFF666E3E}">
          <x14:id>{CF7B259C-5BDA-4DF6-8147-A1081544A694}</x14:id>
        </ext>
      </extLst>
    </cfRule>
  </conditionalFormatting>
  <conditionalFormatting sqref="K6:BN7">
    <cfRule type="expression" dxfId="3" priority="104">
      <formula>K$6=TODAY()</formula>
    </cfRule>
  </conditionalFormatting>
  <conditionalFormatting sqref="K6:BN85">
    <cfRule type="expression" dxfId="2" priority="3">
      <formula>K$6=TODAY()</formula>
    </cfRule>
  </conditionalFormatting>
  <conditionalFormatting sqref="K8:BN85">
    <cfRule type="expression" dxfId="1" priority="107">
      <formula>AND($E8&lt;=K$6,ROUNDDOWN(($F8-$E8+1)*$H8,0)+$E8-1&gt;=K$6)</formula>
    </cfRule>
    <cfRule type="expression" dxfId="0" priority="108">
      <formula>AND(NOT(ISBLANK($E8)),$E8&lt;=K$6,$F8&gt;=K$6)</formula>
    </cfRule>
  </conditionalFormatting>
  <dataValidations count="2">
    <dataValidation allowBlank="1" showInputMessage="1" promptTitle="Display Week" prompt="Enter the week number to display first in the Gantt Chart. The weeks are numbered starting from the week containing the Project Start Date." sqref="H4" xr:uid="{00000000-0002-0000-0000-000000000000}"/>
    <dataValidation type="list" allowBlank="1" showInputMessage="1" showErrorMessage="1" sqref="C34:C36 C65:C69 C45 C84:C85 C71:C80 C82" xr:uid="{B9F7EA5C-26D9-4D6A-A696-DA9F4C35F3D5}">
      <formula1>$B$92:$B$96</formula1>
    </dataValidation>
  </dataValidations>
  <pageMargins left="0.25" right="0.25" top="0.5" bottom="0.5" header="0.5" footer="0.25"/>
  <pageSetup scale="63" fitToHeight="0"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9</xdr:col>
                    <xdr:colOff>99060</xdr:colOff>
                    <xdr:row>1</xdr:row>
                    <xdr:rowOff>121920</xdr:rowOff>
                  </from>
                  <to>
                    <xdr:col>27</xdr:col>
                    <xdr:colOff>114300</xdr:colOff>
                    <xdr:row>1</xdr:row>
                    <xdr:rowOff>350520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A2D7181F-914C-4137-A5BF-1ED602A287A4}">
            <x14:dataBar minLength="0" maxLength="100" gradient="0">
              <x14:cfvo type="num">
                <xm:f>0</xm:f>
              </x14:cfvo>
              <x14:cfvo type="num">
                <xm:f>1</xm:f>
              </x14:cfvo>
              <x14:negativeFillColor rgb="FFFF0000"/>
              <x14:axisColor rgb="FF000000"/>
            </x14:dataBar>
          </x14:cfRule>
          <xm:sqref>H35</xm:sqref>
        </x14:conditionalFormatting>
        <x14:conditionalFormatting xmlns:xm="http://schemas.microsoft.com/office/excel/2006/main">
          <x14:cfRule type="dataBar" id="{E8FB334F-04B2-4389-9055-61B3366570E6}">
            <x14:dataBar minLength="0" maxLength="100" gradient="0">
              <x14:cfvo type="num">
                <xm:f>0</xm:f>
              </x14:cfvo>
              <x14:cfvo type="num">
                <xm:f>1</xm:f>
              </x14:cfvo>
              <x14:negativeFillColor rgb="FFFF0000"/>
              <x14:axisColor rgb="FF000000"/>
            </x14:dataBar>
          </x14:cfRule>
          <xm:sqref>H36</xm:sqref>
        </x14:conditionalFormatting>
        <x14:conditionalFormatting xmlns:xm="http://schemas.microsoft.com/office/excel/2006/main">
          <x14:cfRule type="dataBar" id="{B301C857-F795-4587-83F4-F0EB06DE95F3}">
            <x14:dataBar minLength="0" maxLength="100" gradient="0">
              <x14:cfvo type="num">
                <xm:f>0</xm:f>
              </x14:cfvo>
              <x14:cfvo type="num">
                <xm:f>1</xm:f>
              </x14:cfvo>
              <x14:negativeFillColor rgb="FFFF0000"/>
              <x14:axisColor rgb="FF000000"/>
            </x14:dataBar>
          </x14:cfRule>
          <xm:sqref>H37:H68 H8:H34</xm:sqref>
        </x14:conditionalFormatting>
        <x14:conditionalFormatting xmlns:xm="http://schemas.microsoft.com/office/excel/2006/main">
          <x14:cfRule type="dataBar" id="{BA08E7F6-0238-4F3A-BA3D-DD7DE38FB686}">
            <x14:dataBar minLength="0" maxLength="100" gradient="0">
              <x14:cfvo type="num">
                <xm:f>0</xm:f>
              </x14:cfvo>
              <x14:cfvo type="num">
                <xm:f>1</xm:f>
              </x14:cfvo>
              <x14:negativeFillColor rgb="FFFF0000"/>
              <x14:axisColor rgb="FF000000"/>
            </x14:dataBar>
          </x14:cfRule>
          <xm:sqref>H69</xm:sqref>
        </x14:conditionalFormatting>
        <x14:conditionalFormatting xmlns:xm="http://schemas.microsoft.com/office/excel/2006/main">
          <x14:cfRule type="dataBar" id="{BAE864F0-785B-405C-B3A9-7B39C0D40212}">
            <x14:dataBar minLength="0" maxLength="100" gradient="0">
              <x14:cfvo type="num">
                <xm:f>0</xm:f>
              </x14:cfvo>
              <x14:cfvo type="num">
                <xm:f>1</xm:f>
              </x14:cfvo>
              <x14:negativeFillColor rgb="FFFF0000"/>
              <x14:axisColor rgb="FF000000"/>
            </x14:dataBar>
          </x14:cfRule>
          <xm:sqref>H70:H75</xm:sqref>
        </x14:conditionalFormatting>
        <x14:conditionalFormatting xmlns:xm="http://schemas.microsoft.com/office/excel/2006/main">
          <x14:cfRule type="dataBar" id="{FB036B42-152B-423A-BF5D-E2155FA56777}">
            <x14:dataBar minLength="0" maxLength="100" gradient="0">
              <x14:cfvo type="num">
                <xm:f>0</xm:f>
              </x14:cfvo>
              <x14:cfvo type="num">
                <xm:f>1</xm:f>
              </x14:cfvo>
              <x14:negativeFillColor rgb="FFFF0000"/>
              <x14:axisColor rgb="FF000000"/>
            </x14:dataBar>
          </x14:cfRule>
          <xm:sqref>H76</xm:sqref>
        </x14:conditionalFormatting>
        <x14:conditionalFormatting xmlns:xm="http://schemas.microsoft.com/office/excel/2006/main">
          <x14:cfRule type="dataBar" id="{DCA2DF6B-B4FF-4BBB-A0C7-9EC56EDBD4C0}">
            <x14:dataBar minLength="0" maxLength="100" gradient="0">
              <x14:cfvo type="num">
                <xm:f>0</xm:f>
              </x14:cfvo>
              <x14:cfvo type="num">
                <xm:f>1</xm:f>
              </x14:cfvo>
              <x14:negativeFillColor rgb="FFFF0000"/>
              <x14:axisColor rgb="FF000000"/>
            </x14:dataBar>
          </x14:cfRule>
          <xm:sqref>H77</xm:sqref>
        </x14:conditionalFormatting>
        <x14:conditionalFormatting xmlns:xm="http://schemas.microsoft.com/office/excel/2006/main">
          <x14:cfRule type="dataBar" id="{290FABD9-FEB8-4675-9D6F-66656E83319F}">
            <x14:dataBar minLength="0" maxLength="100" gradient="0">
              <x14:cfvo type="num">
                <xm:f>0</xm:f>
              </x14:cfvo>
              <x14:cfvo type="num">
                <xm:f>1</xm:f>
              </x14:cfvo>
              <x14:negativeFillColor rgb="FFFF0000"/>
              <x14:axisColor rgb="FF000000"/>
            </x14:dataBar>
          </x14:cfRule>
          <xm:sqref>H78</xm:sqref>
        </x14:conditionalFormatting>
        <x14:conditionalFormatting xmlns:xm="http://schemas.microsoft.com/office/excel/2006/main">
          <x14:cfRule type="dataBar" id="{A6D80B09-F70D-41D2-A494-C0872FB59A4A}">
            <x14:dataBar minLength="0" maxLength="100" gradient="0">
              <x14:cfvo type="num">
                <xm:f>0</xm:f>
              </x14:cfvo>
              <x14:cfvo type="num">
                <xm:f>1</xm:f>
              </x14:cfvo>
              <x14:negativeFillColor rgb="FFFF0000"/>
              <x14:axisColor rgb="FF000000"/>
            </x14:dataBar>
          </x14:cfRule>
          <xm:sqref>H79</xm:sqref>
        </x14:conditionalFormatting>
        <x14:conditionalFormatting xmlns:xm="http://schemas.microsoft.com/office/excel/2006/main">
          <x14:cfRule type="dataBar" id="{6AB60CA2-DFCE-4899-929C-88299506E873}">
            <x14:dataBar minLength="0" maxLength="100" gradient="0">
              <x14:cfvo type="num">
                <xm:f>0</xm:f>
              </x14:cfvo>
              <x14:cfvo type="num">
                <xm:f>1</xm:f>
              </x14:cfvo>
              <x14:negativeFillColor rgb="FFFF0000"/>
              <x14:axisColor rgb="FF000000"/>
            </x14:dataBar>
          </x14:cfRule>
          <xm:sqref>H80</xm:sqref>
        </x14:conditionalFormatting>
        <x14:conditionalFormatting xmlns:xm="http://schemas.microsoft.com/office/excel/2006/main">
          <x14:cfRule type="dataBar" id="{BBC8D0D8-4693-4517-8AAD-6CF486F978BF}">
            <x14:dataBar minLength="0" maxLength="100" gradient="0">
              <x14:cfvo type="num">
                <xm:f>0</xm:f>
              </x14:cfvo>
              <x14:cfvo type="num">
                <xm:f>1</xm:f>
              </x14:cfvo>
              <x14:negativeFillColor rgb="FFFF0000"/>
              <x14:axisColor rgb="FF000000"/>
            </x14:dataBar>
          </x14:cfRule>
          <xm:sqref>H81:H82</xm:sqref>
        </x14:conditionalFormatting>
        <x14:conditionalFormatting xmlns:xm="http://schemas.microsoft.com/office/excel/2006/main">
          <x14:cfRule type="dataBar" id="{CF7B259C-5BDA-4DF6-8147-A1081544A694}">
            <x14:dataBar minLength="0" maxLength="100" gradient="0">
              <x14:cfvo type="num">
                <xm:f>0</xm:f>
              </x14:cfvo>
              <x14:cfvo type="num">
                <xm:f>1</xm:f>
              </x14:cfvo>
              <x14:negativeFillColor rgb="FFFF0000"/>
              <x14:axisColor rgb="FF000000"/>
            </x14:dataBar>
          </x14:cfRule>
          <xm:sqref>H83:H85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46"/>
  <sheetViews>
    <sheetView showGridLines="0" workbookViewId="0">
      <selection activeCell="B40" sqref="B40"/>
    </sheetView>
  </sheetViews>
  <sheetFormatPr defaultRowHeight="13.2" x14ac:dyDescent="0.25"/>
  <cols>
    <col min="1" max="1" width="5.5546875" customWidth="1"/>
    <col min="2" max="2" width="37.6640625" customWidth="1"/>
    <col min="3" max="3" width="55.109375" customWidth="1"/>
  </cols>
  <sheetData>
    <row r="1" spans="1:3" ht="30" customHeight="1" x14ac:dyDescent="0.25">
      <c r="A1" s="17" t="s">
        <v>21</v>
      </c>
    </row>
    <row r="4" spans="1:3" x14ac:dyDescent="0.25">
      <c r="C4" s="3" t="s">
        <v>22</v>
      </c>
    </row>
    <row r="5" spans="1:3" x14ac:dyDescent="0.25">
      <c r="C5" s="1" t="s">
        <v>23</v>
      </c>
    </row>
    <row r="6" spans="1:3" x14ac:dyDescent="0.25">
      <c r="C6" s="1"/>
    </row>
    <row r="7" spans="1:3" ht="17.399999999999999" x14ac:dyDescent="0.3">
      <c r="C7" s="11" t="s">
        <v>24</v>
      </c>
    </row>
    <row r="8" spans="1:3" x14ac:dyDescent="0.25">
      <c r="C8" s="12" t="s">
        <v>25</v>
      </c>
    </row>
    <row r="10" spans="1:3" x14ac:dyDescent="0.25">
      <c r="C10" s="1" t="s">
        <v>26</v>
      </c>
    </row>
    <row r="11" spans="1:3" x14ac:dyDescent="0.25">
      <c r="C11" s="1" t="s">
        <v>27</v>
      </c>
    </row>
    <row r="13" spans="1:3" ht="17.399999999999999" x14ac:dyDescent="0.3">
      <c r="C13" s="11" t="s">
        <v>28</v>
      </c>
    </row>
    <row r="16" spans="1:3" ht="15.6" x14ac:dyDescent="0.3">
      <c r="A16" s="14" t="s">
        <v>29</v>
      </c>
    </row>
    <row r="18" spans="2:2" ht="13.8" x14ac:dyDescent="0.25">
      <c r="B18" s="13" t="s">
        <v>30</v>
      </c>
    </row>
    <row r="19" spans="2:2" x14ac:dyDescent="0.25">
      <c r="B19" s="1" t="s">
        <v>31</v>
      </c>
    </row>
    <row r="20" spans="2:2" x14ac:dyDescent="0.25">
      <c r="B20" s="1" t="s">
        <v>32</v>
      </c>
    </row>
    <row r="22" spans="2:2" ht="13.8" x14ac:dyDescent="0.25">
      <c r="B22" s="13" t="s">
        <v>33</v>
      </c>
    </row>
    <row r="23" spans="2:2" x14ac:dyDescent="0.25">
      <c r="B23" s="1" t="s">
        <v>34</v>
      </c>
    </row>
    <row r="24" spans="2:2" x14ac:dyDescent="0.25">
      <c r="B24" s="1" t="s">
        <v>35</v>
      </c>
    </row>
    <row r="26" spans="2:2" ht="13.8" x14ac:dyDescent="0.25">
      <c r="B26" s="13" t="s">
        <v>36</v>
      </c>
    </row>
    <row r="27" spans="2:2" x14ac:dyDescent="0.25">
      <c r="B27" s="1" t="s">
        <v>37</v>
      </c>
    </row>
    <row r="28" spans="2:2" x14ac:dyDescent="0.25">
      <c r="B28" s="1" t="s">
        <v>38</v>
      </c>
    </row>
    <row r="29" spans="2:2" x14ac:dyDescent="0.25">
      <c r="B29" s="1" t="s">
        <v>39</v>
      </c>
    </row>
    <row r="30" spans="2:2" x14ac:dyDescent="0.25">
      <c r="B30" t="s">
        <v>40</v>
      </c>
    </row>
    <row r="31" spans="2:2" x14ac:dyDescent="0.25">
      <c r="B31" t="s">
        <v>41</v>
      </c>
    </row>
    <row r="32" spans="2:2" x14ac:dyDescent="0.25">
      <c r="B32" t="s">
        <v>42</v>
      </c>
    </row>
    <row r="34" spans="2:2" ht="13.8" x14ac:dyDescent="0.25">
      <c r="B34" s="13" t="s">
        <v>43</v>
      </c>
    </row>
    <row r="35" spans="2:2" x14ac:dyDescent="0.25">
      <c r="B35" s="1" t="s">
        <v>44</v>
      </c>
    </row>
    <row r="36" spans="2:2" x14ac:dyDescent="0.25">
      <c r="B36" s="1" t="s">
        <v>45</v>
      </c>
    </row>
    <row r="37" spans="2:2" x14ac:dyDescent="0.25">
      <c r="B37" s="1" t="s">
        <v>46</v>
      </c>
    </row>
    <row r="39" spans="2:2" ht="13.8" x14ac:dyDescent="0.25">
      <c r="B39" s="13" t="s">
        <v>47</v>
      </c>
    </row>
    <row r="40" spans="2:2" x14ac:dyDescent="0.25">
      <c r="B40" s="1" t="s">
        <v>48</v>
      </c>
    </row>
    <row r="42" spans="2:2" ht="13.8" x14ac:dyDescent="0.25">
      <c r="B42" s="13" t="s">
        <v>49</v>
      </c>
    </row>
    <row r="43" spans="2:2" x14ac:dyDescent="0.25">
      <c r="B43" s="1" t="s">
        <v>50</v>
      </c>
    </row>
    <row r="44" spans="2:2" x14ac:dyDescent="0.25">
      <c r="B44" s="1" t="s">
        <v>51</v>
      </c>
    </row>
    <row r="46" spans="2:2" ht="17.399999999999999" x14ac:dyDescent="0.3">
      <c r="B46" s="11" t="s">
        <v>52</v>
      </c>
    </row>
  </sheetData>
  <hyperlinks>
    <hyperlink ref="C7" r:id="rId1" xr:uid="{00000000-0004-0000-0100-000000000000}"/>
    <hyperlink ref="B46" r:id="rId2" tooltip="Go to Vertex42.com" display="https://www.vertex42.com/Links/go.php?urlid=GanttChartPro" xr:uid="{00000000-0004-0000-0100-000001000000}"/>
    <hyperlink ref="C13" r:id="rId3" display="https://www.vertex42.com/blog/business/pm/new-gantt-chart-for-excel-online.html" xr:uid="{00000000-0004-0000-0100-000002000000}"/>
  </hyperlinks>
  <pageMargins left="0.7" right="0.7" top="0.75" bottom="0.75" header="0.3" footer="0.3"/>
  <pageSetup scale="93" orientation="portrait" r:id="rId4"/>
  <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C94"/>
  <sheetViews>
    <sheetView showGridLines="0" topLeftCell="A73" workbookViewId="0">
      <selection sqref="A1:D1048576"/>
    </sheetView>
  </sheetViews>
  <sheetFormatPr defaultColWidth="8.88671875" defaultRowHeight="13.2" x14ac:dyDescent="0.25"/>
  <cols>
    <col min="1" max="1" width="5.5546875" style="1" customWidth="1"/>
    <col min="2" max="2" width="90.44140625" style="1" customWidth="1"/>
    <col min="3" max="3" width="16.44140625" style="1" bestFit="1" customWidth="1"/>
    <col min="4" max="16384" width="8.88671875" style="1"/>
  </cols>
  <sheetData>
    <row r="1" spans="1:3" ht="30" customHeight="1" x14ac:dyDescent="0.25">
      <c r="A1" s="21" t="s">
        <v>53</v>
      </c>
      <c r="B1" s="22"/>
    </row>
    <row r="2" spans="1:3" ht="13.8" x14ac:dyDescent="0.25">
      <c r="A2" s="54" t="s">
        <v>25</v>
      </c>
      <c r="B2" s="2"/>
    </row>
    <row r="3" spans="1:3" x14ac:dyDescent="0.25">
      <c r="B3" s="2"/>
    </row>
    <row r="4" spans="1:3" ht="17.399999999999999" x14ac:dyDescent="0.3">
      <c r="A4" s="49" t="s">
        <v>54</v>
      </c>
      <c r="B4" s="14"/>
    </row>
    <row r="5" spans="1:3" ht="55.2" x14ac:dyDescent="0.25">
      <c r="B5" s="55" t="s">
        <v>55</v>
      </c>
    </row>
    <row r="7" spans="1:3" ht="27.6" x14ac:dyDescent="0.25">
      <c r="B7" s="55" t="s">
        <v>56</v>
      </c>
    </row>
    <row r="9" spans="1:3" ht="13.8" x14ac:dyDescent="0.25">
      <c r="B9" s="54" t="s">
        <v>57</v>
      </c>
    </row>
    <row r="11" spans="1:3" ht="27.6" x14ac:dyDescent="0.25">
      <c r="B11" s="53" t="s">
        <v>58</v>
      </c>
    </row>
    <row r="13" spans="1:3" ht="17.399999999999999" x14ac:dyDescent="0.3">
      <c r="A13" s="137" t="s">
        <v>59</v>
      </c>
      <c r="B13" s="137"/>
    </row>
    <row r="15" spans="1:3" s="50" customFormat="1" ht="17.399999999999999" x14ac:dyDescent="0.25">
      <c r="A15" s="57"/>
      <c r="B15" s="56" t="s">
        <v>60</v>
      </c>
    </row>
    <row r="16" spans="1:3" s="50" customFormat="1" ht="17.399999999999999" x14ac:dyDescent="0.25">
      <c r="A16" s="57"/>
      <c r="B16" s="56" t="s">
        <v>61</v>
      </c>
      <c r="C16" s="52" t="s">
        <v>62</v>
      </c>
    </row>
    <row r="17" spans="1:3" ht="17.399999999999999" x14ac:dyDescent="0.3">
      <c r="A17" s="58"/>
      <c r="B17" s="56" t="s">
        <v>63</v>
      </c>
    </row>
    <row r="18" spans="1:3" ht="17.399999999999999" x14ac:dyDescent="0.3">
      <c r="A18" s="58"/>
      <c r="B18" s="56" t="s">
        <v>64</v>
      </c>
    </row>
    <row r="19" spans="1:3" ht="17.399999999999999" x14ac:dyDescent="0.3">
      <c r="A19" s="58"/>
      <c r="B19" s="56" t="s">
        <v>65</v>
      </c>
    </row>
    <row r="20" spans="1:3" s="50" customFormat="1" ht="17.399999999999999" x14ac:dyDescent="0.25">
      <c r="A20" s="57"/>
      <c r="B20" s="56" t="s">
        <v>66</v>
      </c>
      <c r="C20" s="51" t="s">
        <v>67</v>
      </c>
    </row>
    <row r="21" spans="1:3" ht="17.399999999999999" x14ac:dyDescent="0.3">
      <c r="A21" s="58"/>
      <c r="B21" s="56" t="s">
        <v>68</v>
      </c>
    </row>
    <row r="22" spans="1:3" ht="17.399999999999999" x14ac:dyDescent="0.3">
      <c r="A22" s="58"/>
      <c r="B22" s="59" t="s">
        <v>69</v>
      </c>
    </row>
    <row r="23" spans="1:3" ht="17.399999999999999" x14ac:dyDescent="0.3">
      <c r="A23" s="58"/>
      <c r="B23" s="3"/>
    </row>
    <row r="24" spans="1:3" ht="17.399999999999999" x14ac:dyDescent="0.3">
      <c r="A24" s="137" t="s">
        <v>70</v>
      </c>
      <c r="B24" s="137"/>
    </row>
    <row r="25" spans="1:3" ht="41.4" x14ac:dyDescent="0.3">
      <c r="A25" s="58"/>
      <c r="B25" s="56" t="s">
        <v>71</v>
      </c>
    </row>
    <row r="26" spans="1:3" ht="17.399999999999999" x14ac:dyDescent="0.3">
      <c r="A26" s="58"/>
      <c r="B26" s="56"/>
    </row>
    <row r="27" spans="1:3" ht="17.399999999999999" x14ac:dyDescent="0.3">
      <c r="A27" s="58"/>
      <c r="B27" s="72" t="s">
        <v>72</v>
      </c>
    </row>
    <row r="28" spans="1:3" ht="17.399999999999999" x14ac:dyDescent="0.3">
      <c r="A28" s="58"/>
      <c r="B28" s="56" t="s">
        <v>73</v>
      </c>
    </row>
    <row r="29" spans="1:3" ht="27.6" x14ac:dyDescent="0.3">
      <c r="A29" s="58"/>
      <c r="B29" s="56" t="s">
        <v>74</v>
      </c>
    </row>
    <row r="30" spans="1:3" ht="17.399999999999999" x14ac:dyDescent="0.3">
      <c r="A30" s="58"/>
      <c r="B30" s="56"/>
    </row>
    <row r="31" spans="1:3" ht="17.399999999999999" x14ac:dyDescent="0.3">
      <c r="A31" s="58"/>
      <c r="B31" s="72" t="s">
        <v>75</v>
      </c>
    </row>
    <row r="32" spans="1:3" ht="17.399999999999999" x14ac:dyDescent="0.3">
      <c r="A32" s="58"/>
      <c r="B32" s="56" t="s">
        <v>76</v>
      </c>
    </row>
    <row r="33" spans="1:2" ht="17.399999999999999" x14ac:dyDescent="0.3">
      <c r="A33" s="58"/>
      <c r="B33" s="56" t="s">
        <v>77</v>
      </c>
    </row>
    <row r="34" spans="1:2" ht="17.399999999999999" x14ac:dyDescent="0.3">
      <c r="A34" s="58"/>
      <c r="B34" s="3"/>
    </row>
    <row r="35" spans="1:2" ht="27.6" x14ac:dyDescent="0.3">
      <c r="A35" s="58"/>
      <c r="B35" s="56" t="s">
        <v>78</v>
      </c>
    </row>
    <row r="36" spans="1:2" ht="17.399999999999999" x14ac:dyDescent="0.3">
      <c r="A36" s="58"/>
      <c r="B36" s="60" t="s">
        <v>79</v>
      </c>
    </row>
    <row r="37" spans="1:2" ht="17.399999999999999" x14ac:dyDescent="0.3">
      <c r="A37" s="58"/>
      <c r="B37" s="3"/>
    </row>
    <row r="38" spans="1:2" ht="17.399999999999999" x14ac:dyDescent="0.3">
      <c r="A38" s="137" t="s">
        <v>80</v>
      </c>
      <c r="B38" s="137"/>
    </row>
    <row r="39" spans="1:2" ht="27.6" x14ac:dyDescent="0.25">
      <c r="B39" s="56" t="s">
        <v>81</v>
      </c>
    </row>
    <row r="41" spans="1:2" ht="13.8" x14ac:dyDescent="0.25">
      <c r="B41" s="56" t="s">
        <v>82</v>
      </c>
    </row>
    <row r="43" spans="1:2" ht="27.6" x14ac:dyDescent="0.25">
      <c r="B43" s="56" t="s">
        <v>83</v>
      </c>
    </row>
    <row r="45" spans="1:2" ht="27.6" x14ac:dyDescent="0.25">
      <c r="B45" s="56" t="s">
        <v>84</v>
      </c>
    </row>
    <row r="46" spans="1:2" x14ac:dyDescent="0.25">
      <c r="B46" s="10"/>
    </row>
    <row r="47" spans="1:2" ht="27.6" x14ac:dyDescent="0.25">
      <c r="B47" s="56" t="s">
        <v>85</v>
      </c>
    </row>
    <row r="49" spans="1:2" ht="17.399999999999999" x14ac:dyDescent="0.3">
      <c r="A49" s="137" t="s">
        <v>86</v>
      </c>
      <c r="B49" s="137"/>
    </row>
    <row r="50" spans="1:2" ht="27.6" x14ac:dyDescent="0.25">
      <c r="B50" s="56" t="s">
        <v>87</v>
      </c>
    </row>
    <row r="52" spans="1:2" ht="13.8" x14ac:dyDescent="0.25">
      <c r="A52" s="61" t="s">
        <v>88</v>
      </c>
      <c r="B52" s="56" t="s">
        <v>89</v>
      </c>
    </row>
    <row r="53" spans="1:2" ht="13.8" x14ac:dyDescent="0.25">
      <c r="A53" s="61" t="s">
        <v>90</v>
      </c>
      <c r="B53" s="56" t="s">
        <v>91</v>
      </c>
    </row>
    <row r="54" spans="1:2" ht="13.8" x14ac:dyDescent="0.25">
      <c r="A54" s="61" t="s">
        <v>92</v>
      </c>
      <c r="B54" s="56" t="s">
        <v>93</v>
      </c>
    </row>
    <row r="55" spans="1:2" ht="28.2" x14ac:dyDescent="0.25">
      <c r="A55" s="53"/>
      <c r="B55" s="56" t="s">
        <v>94</v>
      </c>
    </row>
    <row r="56" spans="1:2" ht="28.2" x14ac:dyDescent="0.25">
      <c r="A56" s="53"/>
      <c r="B56" s="56" t="s">
        <v>95</v>
      </c>
    </row>
    <row r="57" spans="1:2" ht="13.8" x14ac:dyDescent="0.25">
      <c r="A57" s="61" t="s">
        <v>96</v>
      </c>
      <c r="B57" s="56" t="s">
        <v>97</v>
      </c>
    </row>
    <row r="58" spans="1:2" ht="14.4" x14ac:dyDescent="0.25">
      <c r="A58" s="53"/>
      <c r="B58" s="56" t="s">
        <v>98</v>
      </c>
    </row>
    <row r="59" spans="1:2" ht="14.4" x14ac:dyDescent="0.25">
      <c r="A59" s="53"/>
      <c r="B59" s="56" t="s">
        <v>99</v>
      </c>
    </row>
    <row r="60" spans="1:2" ht="13.8" x14ac:dyDescent="0.25">
      <c r="A60" s="61" t="s">
        <v>100</v>
      </c>
      <c r="B60" s="56" t="s">
        <v>101</v>
      </c>
    </row>
    <row r="61" spans="1:2" ht="28.2" x14ac:dyDescent="0.25">
      <c r="A61" s="53"/>
      <c r="B61" s="56" t="s">
        <v>102</v>
      </c>
    </row>
    <row r="62" spans="1:2" ht="13.8" x14ac:dyDescent="0.25">
      <c r="A62" s="61" t="s">
        <v>103</v>
      </c>
      <c r="B62" s="56" t="s">
        <v>104</v>
      </c>
    </row>
    <row r="63" spans="1:2" ht="13.8" x14ac:dyDescent="0.25">
      <c r="A63" s="62"/>
      <c r="B63" s="56" t="s">
        <v>105</v>
      </c>
    </row>
    <row r="64" spans="1:2" x14ac:dyDescent="0.25">
      <c r="B64" s="4"/>
    </row>
    <row r="65" spans="1:2" ht="17.399999999999999" x14ac:dyDescent="0.3">
      <c r="A65" s="137" t="s">
        <v>106</v>
      </c>
      <c r="B65" s="137"/>
    </row>
    <row r="66" spans="1:2" ht="41.4" x14ac:dyDescent="0.25">
      <c r="B66" s="56" t="s">
        <v>107</v>
      </c>
    </row>
    <row r="68" spans="1:2" ht="17.399999999999999" x14ac:dyDescent="0.3">
      <c r="A68" s="137" t="s">
        <v>108</v>
      </c>
      <c r="B68" s="137"/>
    </row>
    <row r="69" spans="1:2" ht="13.8" x14ac:dyDescent="0.25">
      <c r="A69" s="68" t="s">
        <v>109</v>
      </c>
      <c r="B69" s="69" t="s">
        <v>110</v>
      </c>
    </row>
    <row r="70" spans="1:2" ht="27.6" x14ac:dyDescent="0.25">
      <c r="A70" s="62"/>
      <c r="B70" s="67" t="s">
        <v>111</v>
      </c>
    </row>
    <row r="71" spans="1:2" ht="13.8" x14ac:dyDescent="0.25">
      <c r="A71" s="62"/>
      <c r="B71" s="63"/>
    </row>
    <row r="72" spans="1:2" ht="13.8" x14ac:dyDescent="0.25">
      <c r="A72" s="68" t="s">
        <v>109</v>
      </c>
      <c r="B72" s="69" t="s">
        <v>112</v>
      </c>
    </row>
    <row r="73" spans="1:2" ht="28.2" x14ac:dyDescent="0.25">
      <c r="A73" s="62"/>
      <c r="B73" s="67" t="s">
        <v>113</v>
      </c>
    </row>
    <row r="74" spans="1:2" ht="13.8" x14ac:dyDescent="0.25">
      <c r="A74" s="62"/>
      <c r="B74" s="63"/>
    </row>
    <row r="75" spans="1:2" ht="13.8" x14ac:dyDescent="0.25">
      <c r="A75" s="68" t="s">
        <v>109</v>
      </c>
      <c r="B75" s="71" t="s">
        <v>114</v>
      </c>
    </row>
    <row r="76" spans="1:2" ht="41.4" x14ac:dyDescent="0.25">
      <c r="A76" s="62"/>
      <c r="B76" s="55" t="s">
        <v>115</v>
      </c>
    </row>
    <row r="77" spans="1:2" ht="13.8" x14ac:dyDescent="0.25">
      <c r="A77" s="62"/>
      <c r="B77" s="62"/>
    </row>
    <row r="78" spans="1:2" ht="13.8" x14ac:dyDescent="0.25">
      <c r="A78" s="68" t="s">
        <v>109</v>
      </c>
      <c r="B78" s="71" t="s">
        <v>116</v>
      </c>
    </row>
    <row r="79" spans="1:2" ht="27.6" x14ac:dyDescent="0.25">
      <c r="A79" s="62"/>
      <c r="B79" s="55" t="s">
        <v>117</v>
      </c>
    </row>
    <row r="80" spans="1:2" ht="13.8" x14ac:dyDescent="0.25">
      <c r="A80" s="62"/>
      <c r="B80" s="62"/>
    </row>
    <row r="81" spans="1:2" ht="13.8" x14ac:dyDescent="0.25">
      <c r="A81" s="68" t="s">
        <v>109</v>
      </c>
      <c r="B81" s="71" t="s">
        <v>118</v>
      </c>
    </row>
    <row r="82" spans="1:2" ht="14.4" x14ac:dyDescent="0.3">
      <c r="A82" s="62"/>
      <c r="B82" s="66" t="s">
        <v>119</v>
      </c>
    </row>
    <row r="83" spans="1:2" ht="14.4" x14ac:dyDescent="0.3">
      <c r="A83" s="62"/>
      <c r="B83" s="66" t="s">
        <v>120</v>
      </c>
    </row>
    <row r="84" spans="1:2" ht="14.4" x14ac:dyDescent="0.3">
      <c r="A84" s="62"/>
      <c r="B84" s="66" t="s">
        <v>121</v>
      </c>
    </row>
    <row r="85" spans="1:2" ht="13.8" x14ac:dyDescent="0.25">
      <c r="A85" s="62"/>
      <c r="B85" s="65"/>
    </row>
    <row r="86" spans="1:2" ht="13.8" x14ac:dyDescent="0.25">
      <c r="A86" s="68" t="s">
        <v>109</v>
      </c>
      <c r="B86" s="71" t="s">
        <v>122</v>
      </c>
    </row>
    <row r="87" spans="1:2" ht="41.4" x14ac:dyDescent="0.25">
      <c r="A87" s="62"/>
      <c r="B87" s="55" t="s">
        <v>123</v>
      </c>
    </row>
    <row r="88" spans="1:2" ht="14.4" x14ac:dyDescent="0.3">
      <c r="A88" s="62"/>
      <c r="B88" s="64" t="s">
        <v>124</v>
      </c>
    </row>
    <row r="89" spans="1:2" ht="41.4" x14ac:dyDescent="0.25">
      <c r="A89" s="62"/>
      <c r="B89" s="70" t="s">
        <v>125</v>
      </c>
    </row>
    <row r="90" spans="1:2" ht="13.8" x14ac:dyDescent="0.25">
      <c r="A90" s="62"/>
      <c r="B90" s="62"/>
    </row>
    <row r="91" spans="1:2" ht="13.8" x14ac:dyDescent="0.25">
      <c r="A91" s="68" t="s">
        <v>109</v>
      </c>
      <c r="B91" s="71" t="s">
        <v>126</v>
      </c>
    </row>
    <row r="92" spans="1:2" ht="27.6" x14ac:dyDescent="0.25">
      <c r="A92" s="53"/>
      <c r="B92" s="66" t="s">
        <v>127</v>
      </c>
    </row>
    <row r="94" spans="1:2" x14ac:dyDescent="0.25">
      <c r="A94" s="15" t="s">
        <v>128</v>
      </c>
    </row>
  </sheetData>
  <mergeCells count="6">
    <mergeCell ref="A38:B38"/>
    <mergeCell ref="A49:B49"/>
    <mergeCell ref="A68:B68"/>
    <mergeCell ref="A13:B13"/>
    <mergeCell ref="A65:B65"/>
    <mergeCell ref="A24:B24"/>
  </mergeCells>
  <phoneticPr fontId="3" type="noConversion"/>
  <hyperlinks>
    <hyperlink ref="B9" r:id="rId1" xr:uid="{00000000-0004-0000-0200-000000000000}"/>
    <hyperlink ref="A2" r:id="rId2" xr:uid="{00000000-0004-0000-0200-000001000000}"/>
    <hyperlink ref="B36" r:id="rId3" xr:uid="{00000000-0004-0000-0200-000002000000}"/>
  </hyperlinks>
  <pageMargins left="0.5" right="0.5" top="0.25" bottom="0.25" header="0.5" footer="0.5"/>
  <pageSetup orientation="portrait" r:id="rId4"/>
  <headerFooter alignWithMargins="0"/>
  <drawing r:id="rId5"/>
  <legacy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9"/>
  <sheetViews>
    <sheetView showGridLines="0" workbookViewId="0">
      <selection activeCell="A2" sqref="A2"/>
    </sheetView>
  </sheetViews>
  <sheetFormatPr defaultColWidth="8.88671875" defaultRowHeight="13.2" x14ac:dyDescent="0.25"/>
  <cols>
    <col min="1" max="1" width="5.5546875" style="1" customWidth="1"/>
    <col min="2" max="2" width="82.109375" style="1" customWidth="1"/>
  </cols>
  <sheetData>
    <row r="1" spans="1:3" ht="30" customHeight="1" x14ac:dyDescent="0.25">
      <c r="A1" s="21" t="s">
        <v>129</v>
      </c>
      <c r="B1" s="21"/>
    </row>
    <row r="2" spans="1:3" ht="15" x14ac:dyDescent="0.25">
      <c r="B2" s="25"/>
    </row>
    <row r="3" spans="1:3" ht="15" x14ac:dyDescent="0.25">
      <c r="A3" s="23"/>
      <c r="B3" s="18" t="s">
        <v>130</v>
      </c>
      <c r="C3" s="24"/>
    </row>
    <row r="4" spans="1:3" ht="13.8" x14ac:dyDescent="0.25">
      <c r="A4" s="5"/>
      <c r="B4" s="20" t="s">
        <v>25</v>
      </c>
      <c r="C4" s="6"/>
    </row>
    <row r="5" spans="1:3" ht="15" x14ac:dyDescent="0.25">
      <c r="A5" s="5"/>
      <c r="B5" s="7"/>
      <c r="C5" s="6"/>
    </row>
    <row r="6" spans="1:3" ht="15.6" x14ac:dyDescent="0.3">
      <c r="A6" s="5"/>
      <c r="B6" s="8" t="s">
        <v>128</v>
      </c>
      <c r="C6" s="6"/>
    </row>
    <row r="7" spans="1:3" ht="15" x14ac:dyDescent="0.25">
      <c r="A7" s="5"/>
      <c r="B7" s="7"/>
      <c r="C7" s="6"/>
    </row>
    <row r="8" spans="1:3" ht="30" x14ac:dyDescent="0.25">
      <c r="A8" s="5"/>
      <c r="B8" s="7" t="s">
        <v>131</v>
      </c>
      <c r="C8" s="6"/>
    </row>
    <row r="9" spans="1:3" ht="15" x14ac:dyDescent="0.25">
      <c r="A9" s="5"/>
      <c r="B9" s="7"/>
      <c r="C9" s="6"/>
    </row>
    <row r="10" spans="1:3" ht="46.2" x14ac:dyDescent="0.3">
      <c r="A10" s="5"/>
      <c r="B10" s="7" t="s">
        <v>132</v>
      </c>
      <c r="C10" s="6"/>
    </row>
    <row r="11" spans="1:3" ht="15" x14ac:dyDescent="0.25">
      <c r="A11" s="5"/>
      <c r="B11" s="7"/>
      <c r="C11" s="6"/>
    </row>
    <row r="12" spans="1:3" ht="45" x14ac:dyDescent="0.25">
      <c r="A12" s="5"/>
      <c r="B12" s="7" t="s">
        <v>133</v>
      </c>
      <c r="C12" s="6"/>
    </row>
    <row r="13" spans="1:3" ht="15" x14ac:dyDescent="0.25">
      <c r="A13" s="5"/>
      <c r="B13" s="7"/>
      <c r="C13" s="6"/>
    </row>
    <row r="14" spans="1:3" ht="60" x14ac:dyDescent="0.25">
      <c r="A14" s="5"/>
      <c r="B14" s="7" t="s">
        <v>134</v>
      </c>
      <c r="C14" s="6"/>
    </row>
    <row r="15" spans="1:3" ht="15" x14ac:dyDescent="0.25">
      <c r="A15" s="5"/>
      <c r="B15" s="7"/>
      <c r="C15" s="6"/>
    </row>
    <row r="16" spans="1:3" ht="30.6" x14ac:dyDescent="0.25">
      <c r="A16" s="5"/>
      <c r="B16" s="7" t="s">
        <v>135</v>
      </c>
      <c r="C16" s="6"/>
    </row>
    <row r="17" spans="1:3" ht="15" x14ac:dyDescent="0.25">
      <c r="A17" s="5"/>
      <c r="B17" s="7"/>
      <c r="C17" s="6"/>
    </row>
    <row r="18" spans="1:3" ht="15.6" x14ac:dyDescent="0.3">
      <c r="A18" s="5"/>
      <c r="B18" s="8" t="s">
        <v>136</v>
      </c>
      <c r="C18" s="6"/>
    </row>
    <row r="19" spans="1:3" ht="15" x14ac:dyDescent="0.25">
      <c r="A19" s="5"/>
      <c r="B19" s="19" t="s">
        <v>137</v>
      </c>
      <c r="C19" s="6"/>
    </row>
    <row r="20" spans="1:3" ht="15" x14ac:dyDescent="0.25">
      <c r="A20" s="5"/>
      <c r="B20" s="9"/>
      <c r="C20" s="6"/>
    </row>
    <row r="21" spans="1:3" x14ac:dyDescent="0.25">
      <c r="A21" s="5"/>
      <c r="B21" s="5"/>
      <c r="C21" s="6"/>
    </row>
    <row r="22" spans="1:3" x14ac:dyDescent="0.25">
      <c r="A22" s="5"/>
      <c r="B22" s="5"/>
      <c r="C22" s="6"/>
    </row>
    <row r="23" spans="1:3" x14ac:dyDescent="0.25">
      <c r="A23" s="5"/>
      <c r="B23" s="5"/>
      <c r="C23" s="6"/>
    </row>
    <row r="24" spans="1:3" x14ac:dyDescent="0.25">
      <c r="A24" s="5"/>
      <c r="B24" s="5"/>
      <c r="C24" s="6"/>
    </row>
    <row r="25" spans="1:3" x14ac:dyDescent="0.25">
      <c r="A25" s="5"/>
      <c r="B25" s="5"/>
      <c r="C25" s="6"/>
    </row>
    <row r="26" spans="1:3" x14ac:dyDescent="0.25">
      <c r="A26" s="5"/>
      <c r="B26" s="5"/>
      <c r="C26" s="6"/>
    </row>
    <row r="27" spans="1:3" x14ac:dyDescent="0.25">
      <c r="A27" s="5"/>
      <c r="B27" s="5"/>
      <c r="C27" s="6"/>
    </row>
    <row r="28" spans="1:3" x14ac:dyDescent="0.25">
      <c r="A28" s="5"/>
      <c r="B28" s="5"/>
      <c r="C28" s="6"/>
    </row>
    <row r="29" spans="1:3" x14ac:dyDescent="0.25">
      <c r="A29" s="5"/>
      <c r="B29" s="5"/>
      <c r="C29" s="6"/>
    </row>
  </sheetData>
  <hyperlinks>
    <hyperlink ref="B4" r:id="rId1" xr:uid="{00000000-0004-0000-0300-000000000000}"/>
    <hyperlink ref="B19" r:id="rId2" xr:uid="{00000000-0004-0000-0300-000001000000}"/>
  </hyperlinks>
  <pageMargins left="0.7" right="0.7" top="0.75" bottom="0.75" header="0.3" footer="0.3"/>
  <pageSetup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4</vt:i4>
      </vt:variant>
      <vt:variant>
        <vt:lpstr>Nazwane zakresy</vt:lpstr>
      </vt:variant>
      <vt:variant>
        <vt:i4>4</vt:i4>
      </vt:variant>
    </vt:vector>
  </HeadingPairs>
  <TitlesOfParts>
    <vt:vector size="8" baseType="lpstr">
      <vt:lpstr>Projekt</vt:lpstr>
      <vt:lpstr>GanttChartPro</vt:lpstr>
      <vt:lpstr>Help</vt:lpstr>
      <vt:lpstr>TermsOfUse</vt:lpstr>
      <vt:lpstr>GanttChartPro!Obszar_wydruku</vt:lpstr>
      <vt:lpstr>Projekt!Obszar_wydruku</vt:lpstr>
      <vt:lpstr>Projekt!prevWBS</vt:lpstr>
      <vt:lpstr>Projekt!Tytuły_wydruku</vt:lpstr>
    </vt:vector>
  </TitlesOfParts>
  <Manager/>
  <Company>Vertex42 LLC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subject/>
  <dc:creator>Vertex42.com</dc:creator>
  <cp:keywords/>
  <dc:description>(c) 2006-2018 Vertex42 LLC. All Rights Reserved.</dc:description>
  <cp:lastModifiedBy>Adam Ćwikliński (273055)</cp:lastModifiedBy>
  <cp:revision/>
  <dcterms:created xsi:type="dcterms:W3CDTF">2010-06-09T16:05:03Z</dcterms:created>
  <dcterms:modified xsi:type="dcterms:W3CDTF">2026-03-08T21:19:43Z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3.1.0</vt:lpwstr>
  </property>
  <property fmtid="{D5CDD505-2E9C-101B-9397-08002B2CF9AE}" pid="4" name="Source">
    <vt:lpwstr>https://www.vertex42.com/ExcelTemplates/excel-gantt-chart.html</vt:lpwstr>
  </property>
</Properties>
</file>